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2E26BBD0-ADA7-42F9-A071-6CB81A2DB03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WBS-TEST" sheetId="12" r:id="rId1"/>
    <sheet name="WBS-Template" sheetId="1" r:id="rId2"/>
  </sheets>
  <functionGroups builtInGroupCount="19"/>
  <definedNames>
    <definedName name="_xlnm._FilterDatabase" localSheetId="0" hidden="1">'WBS-TEST'!$E$7:$AQ$218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12" l="1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M8" i="12"/>
  <c r="Q8" i="12" s="1"/>
  <c r="M9" i="12"/>
  <c r="Q9" i="12" s="1"/>
  <c r="M10" i="12"/>
  <c r="Q10" i="12" s="1"/>
  <c r="M11" i="12"/>
  <c r="Q11" i="12" s="1"/>
  <c r="M12" i="12"/>
  <c r="Q12" i="12" s="1"/>
  <c r="M13" i="12"/>
  <c r="Q13" i="12" s="1"/>
  <c r="M14" i="12"/>
  <c r="Q14" i="12" s="1"/>
  <c r="M15" i="12"/>
  <c r="Q15" i="12" s="1"/>
  <c r="M16" i="12"/>
  <c r="Q16" i="12" s="1"/>
  <c r="M17" i="12"/>
  <c r="Q17" i="12" s="1"/>
  <c r="M18" i="12"/>
  <c r="Q18" i="12" s="1"/>
  <c r="M19" i="12"/>
  <c r="Q19" i="12" s="1"/>
  <c r="M20" i="12"/>
  <c r="Q20" i="12" s="1"/>
  <c r="M21" i="12"/>
  <c r="P21" i="12" s="1"/>
  <c r="M22" i="12"/>
  <c r="P22" i="12" s="1"/>
  <c r="M23" i="12"/>
  <c r="P23" i="12" s="1"/>
  <c r="M24" i="12"/>
  <c r="Q24" i="12" s="1"/>
  <c r="M25" i="12"/>
  <c r="Q25" i="12" s="1"/>
  <c r="M26" i="12"/>
  <c r="Q26" i="12" s="1"/>
  <c r="M27" i="12"/>
  <c r="Q27" i="12" s="1"/>
  <c r="M28" i="12"/>
  <c r="Q28" i="12" s="1"/>
  <c r="M29" i="12"/>
  <c r="Q29" i="12" s="1"/>
  <c r="M30" i="12"/>
  <c r="Q30" i="12" s="1"/>
  <c r="M31" i="12"/>
  <c r="Q31" i="12" s="1"/>
  <c r="M32" i="12"/>
  <c r="Q32" i="12" s="1"/>
  <c r="M33" i="12"/>
  <c r="Q33" i="12" s="1"/>
  <c r="M34" i="12"/>
  <c r="Q34" i="12" s="1"/>
  <c r="M35" i="12"/>
  <c r="Q35" i="12" s="1"/>
  <c r="M36" i="12"/>
  <c r="Q36" i="12" s="1"/>
  <c r="M37" i="12"/>
  <c r="P37" i="12" s="1"/>
  <c r="M38" i="12"/>
  <c r="P38" i="12" s="1"/>
  <c r="M39" i="12"/>
  <c r="P39" i="12" s="1"/>
  <c r="M40" i="12"/>
  <c r="Q40" i="12" s="1"/>
  <c r="M41" i="12"/>
  <c r="Q41" i="12" s="1"/>
  <c r="M42" i="12"/>
  <c r="Q42" i="12" s="1"/>
  <c r="M43" i="12"/>
  <c r="Q43" i="12" s="1"/>
  <c r="M44" i="12"/>
  <c r="Q44" i="12" s="1"/>
  <c r="M45" i="12"/>
  <c r="Q45" i="12" s="1"/>
  <c r="M46" i="12"/>
  <c r="Q46" i="12" s="1"/>
  <c r="M47" i="12"/>
  <c r="Q47" i="12" s="1"/>
  <c r="M48" i="12"/>
  <c r="Q48" i="12" s="1"/>
  <c r="M49" i="12"/>
  <c r="Q49" i="12" s="1"/>
  <c r="M50" i="12"/>
  <c r="Q50" i="12" s="1"/>
  <c r="M51" i="12"/>
  <c r="Q51" i="12" s="1"/>
  <c r="M52" i="12"/>
  <c r="Q52" i="12" s="1"/>
  <c r="M53" i="12"/>
  <c r="P53" i="12" s="1"/>
  <c r="M54" i="12"/>
  <c r="P54" i="12" s="1"/>
  <c r="M55" i="12"/>
  <c r="P55" i="12" s="1"/>
  <c r="M56" i="12"/>
  <c r="Q56" i="12" s="1"/>
  <c r="M57" i="12"/>
  <c r="Q57" i="12" s="1"/>
  <c r="M58" i="12"/>
  <c r="Q58" i="12" s="1"/>
  <c r="M59" i="12"/>
  <c r="Q59" i="12" s="1"/>
  <c r="M60" i="12"/>
  <c r="Q60" i="12" s="1"/>
  <c r="M61" i="12"/>
  <c r="Q61" i="12" s="1"/>
  <c r="M62" i="12"/>
  <c r="Q62" i="12" s="1"/>
  <c r="M63" i="12"/>
  <c r="Q63" i="12" s="1"/>
  <c r="M64" i="12"/>
  <c r="Q64" i="12" s="1"/>
  <c r="M65" i="12"/>
  <c r="Q65" i="12" s="1"/>
  <c r="M66" i="12"/>
  <c r="Q66" i="12" s="1"/>
  <c r="M67" i="12"/>
  <c r="Q67" i="12" s="1"/>
  <c r="M68" i="12"/>
  <c r="Q68" i="12" s="1"/>
  <c r="M69" i="12"/>
  <c r="P69" i="12" s="1"/>
  <c r="M70" i="12"/>
  <c r="P70" i="12" s="1"/>
  <c r="M71" i="12"/>
  <c r="P71" i="12" s="1"/>
  <c r="M72" i="12"/>
  <c r="Q72" i="12" s="1"/>
  <c r="M73" i="12"/>
  <c r="Q73" i="12" s="1"/>
  <c r="M74" i="12"/>
  <c r="Q74" i="12" s="1"/>
  <c r="M75" i="12"/>
  <c r="Q75" i="12" s="1"/>
  <c r="M76" i="12"/>
  <c r="Q76" i="12" s="1"/>
  <c r="M77" i="12"/>
  <c r="Q77" i="12" s="1"/>
  <c r="M78" i="12"/>
  <c r="Q78" i="12" s="1"/>
  <c r="M79" i="12"/>
  <c r="Q79" i="12" s="1"/>
  <c r="M80" i="12"/>
  <c r="Q80" i="12" s="1"/>
  <c r="M81" i="12"/>
  <c r="Q81" i="12" s="1"/>
  <c r="M82" i="12"/>
  <c r="Q82" i="12" s="1"/>
  <c r="M83" i="12"/>
  <c r="Q83" i="12" s="1"/>
  <c r="M84" i="12"/>
  <c r="Q84" i="12" s="1"/>
  <c r="M85" i="12"/>
  <c r="P85" i="12" s="1"/>
  <c r="M86" i="12"/>
  <c r="P86" i="12" s="1"/>
  <c r="M87" i="12"/>
  <c r="P87" i="12" s="1"/>
  <c r="M88" i="12"/>
  <c r="Q88" i="12" s="1"/>
  <c r="M89" i="12"/>
  <c r="Q89" i="12" s="1"/>
  <c r="M90" i="12"/>
  <c r="Q90" i="12" s="1"/>
  <c r="M91" i="12"/>
  <c r="Q91" i="12" s="1"/>
  <c r="M92" i="12"/>
  <c r="Q92" i="12" s="1"/>
  <c r="M93" i="12"/>
  <c r="Q93" i="12" s="1"/>
  <c r="M94" i="12"/>
  <c r="Q94" i="12" s="1"/>
  <c r="M95" i="12"/>
  <c r="Q95" i="12" s="1"/>
  <c r="M96" i="12"/>
  <c r="Q96" i="12" s="1"/>
  <c r="M97" i="12"/>
  <c r="Q97" i="12" s="1"/>
  <c r="M98" i="12"/>
  <c r="Q98" i="12" s="1"/>
  <c r="M99" i="12"/>
  <c r="Q99" i="12" s="1"/>
  <c r="M100" i="12"/>
  <c r="Q100" i="12" s="1"/>
  <c r="M101" i="12"/>
  <c r="P101" i="12" s="1"/>
  <c r="M102" i="12"/>
  <c r="P102" i="12" s="1"/>
  <c r="M103" i="12"/>
  <c r="P103" i="12" s="1"/>
  <c r="M104" i="12"/>
  <c r="Q104" i="12" s="1"/>
  <c r="M105" i="12"/>
  <c r="Q105" i="12" s="1"/>
  <c r="M106" i="12"/>
  <c r="Q106" i="12" s="1"/>
  <c r="M107" i="12"/>
  <c r="Q107" i="12" s="1"/>
  <c r="M108" i="12"/>
  <c r="Q108" i="12" s="1"/>
  <c r="M109" i="12"/>
  <c r="Q109" i="12" s="1"/>
  <c r="M110" i="12"/>
  <c r="Q110" i="12" s="1"/>
  <c r="M111" i="12"/>
  <c r="Q111" i="12" s="1"/>
  <c r="M112" i="12"/>
  <c r="Q112" i="12" s="1"/>
  <c r="M113" i="12"/>
  <c r="Q113" i="12" s="1"/>
  <c r="M114" i="12"/>
  <c r="Q114" i="12" s="1"/>
  <c r="M115" i="12"/>
  <c r="Q115" i="12" s="1"/>
  <c r="M116" i="12"/>
  <c r="Q116" i="12" s="1"/>
  <c r="M117" i="12"/>
  <c r="P117" i="12" s="1"/>
  <c r="M118" i="12"/>
  <c r="P118" i="12" s="1"/>
  <c r="M119" i="12"/>
  <c r="P119" i="12" s="1"/>
  <c r="M120" i="12"/>
  <c r="Q120" i="12" s="1"/>
  <c r="M121" i="12"/>
  <c r="Q121" i="12" s="1"/>
  <c r="M122" i="12"/>
  <c r="Q122" i="12" s="1"/>
  <c r="M123" i="12"/>
  <c r="Q123" i="12" s="1"/>
  <c r="M124" i="12"/>
  <c r="Q124" i="12" s="1"/>
  <c r="M125" i="12"/>
  <c r="Q125" i="12" s="1"/>
  <c r="M126" i="12"/>
  <c r="Q126" i="12" s="1"/>
  <c r="M127" i="12"/>
  <c r="Q127" i="12" s="1"/>
  <c r="M128" i="12"/>
  <c r="Q128" i="12" s="1"/>
  <c r="M129" i="12"/>
  <c r="Q129" i="12" s="1"/>
  <c r="M130" i="12"/>
  <c r="Q130" i="12" s="1"/>
  <c r="M131" i="12"/>
  <c r="Q131" i="12" s="1"/>
  <c r="M132" i="12"/>
  <c r="Q132" i="12" s="1"/>
  <c r="M133" i="12"/>
  <c r="P133" i="12" s="1"/>
  <c r="M134" i="12"/>
  <c r="P134" i="12" s="1"/>
  <c r="M135" i="12"/>
  <c r="P135" i="12" s="1"/>
  <c r="M136" i="12"/>
  <c r="Q136" i="12" s="1"/>
  <c r="M137" i="12"/>
  <c r="Q137" i="12" s="1"/>
  <c r="M138" i="12"/>
  <c r="Q138" i="12" s="1"/>
  <c r="M139" i="12"/>
  <c r="Q139" i="12" s="1"/>
  <c r="M140" i="12"/>
  <c r="Q140" i="12" s="1"/>
  <c r="M141" i="12"/>
  <c r="Q141" i="12" s="1"/>
  <c r="M142" i="12"/>
  <c r="Q142" i="12" s="1"/>
  <c r="M143" i="12"/>
  <c r="Q143" i="12" s="1"/>
  <c r="M144" i="12"/>
  <c r="Q144" i="12" s="1"/>
  <c r="M145" i="12"/>
  <c r="Q145" i="12" s="1"/>
  <c r="M146" i="12"/>
  <c r="Q146" i="12" s="1"/>
  <c r="M147" i="12"/>
  <c r="Q147" i="12" s="1"/>
  <c r="M148" i="12"/>
  <c r="Q148" i="12" s="1"/>
  <c r="M149" i="12"/>
  <c r="P149" i="12" s="1"/>
  <c r="M150" i="12"/>
  <c r="P150" i="12" s="1"/>
  <c r="M151" i="12"/>
  <c r="P151" i="12" s="1"/>
  <c r="M152" i="12"/>
  <c r="Q152" i="12" s="1"/>
  <c r="M153" i="12"/>
  <c r="Q153" i="12" s="1"/>
  <c r="M154" i="12"/>
  <c r="Q154" i="12" s="1"/>
  <c r="M155" i="12"/>
  <c r="Q155" i="12" s="1"/>
  <c r="M156" i="12"/>
  <c r="Q156" i="12" s="1"/>
  <c r="M157" i="12"/>
  <c r="Q157" i="12" s="1"/>
  <c r="M158" i="12"/>
  <c r="Q158" i="12" s="1"/>
  <c r="M159" i="12"/>
  <c r="Q159" i="12" s="1"/>
  <c r="M160" i="12"/>
  <c r="Q160" i="12" s="1"/>
  <c r="M161" i="12"/>
  <c r="Q161" i="12" s="1"/>
  <c r="M162" i="12"/>
  <c r="Q162" i="12" s="1"/>
  <c r="M163" i="12"/>
  <c r="Q163" i="12" s="1"/>
  <c r="M164" i="12"/>
  <c r="Q164" i="12" s="1"/>
  <c r="M165" i="12"/>
  <c r="P165" i="12" s="1"/>
  <c r="M166" i="12"/>
  <c r="P166" i="12" s="1"/>
  <c r="M167" i="12"/>
  <c r="P167" i="12" s="1"/>
  <c r="M168" i="12"/>
  <c r="Q168" i="12" s="1"/>
  <c r="M169" i="12"/>
  <c r="Q169" i="12" s="1"/>
  <c r="M170" i="12"/>
  <c r="Q170" i="12" s="1"/>
  <c r="M171" i="12"/>
  <c r="Q171" i="12" s="1"/>
  <c r="M172" i="12"/>
  <c r="Q172" i="12" s="1"/>
  <c r="M173" i="12"/>
  <c r="Q173" i="12" s="1"/>
  <c r="M174" i="12"/>
  <c r="Q174" i="12" s="1"/>
  <c r="M175" i="12"/>
  <c r="Q175" i="12" s="1"/>
  <c r="M176" i="12"/>
  <c r="Q176" i="12" s="1"/>
  <c r="M177" i="12"/>
  <c r="Q177" i="12" s="1"/>
  <c r="M178" i="12"/>
  <c r="Q178" i="12" s="1"/>
  <c r="M179" i="12"/>
  <c r="Q179" i="12" s="1"/>
  <c r="M180" i="12"/>
  <c r="Q180" i="12" s="1"/>
  <c r="M181" i="12"/>
  <c r="P181" i="12" s="1"/>
  <c r="M182" i="12"/>
  <c r="P182" i="12" s="1"/>
  <c r="M183" i="12"/>
  <c r="P183" i="12" s="1"/>
  <c r="M184" i="12"/>
  <c r="Q184" i="12" s="1"/>
  <c r="M185" i="12"/>
  <c r="Q185" i="12" s="1"/>
  <c r="M186" i="12"/>
  <c r="Q186" i="12" s="1"/>
  <c r="M187" i="12"/>
  <c r="Q187" i="12" s="1"/>
  <c r="M188" i="12"/>
  <c r="Q188" i="12" s="1"/>
  <c r="M189" i="12"/>
  <c r="Q189" i="12" s="1"/>
  <c r="M190" i="12"/>
  <c r="Q190" i="12" s="1"/>
  <c r="M191" i="12"/>
  <c r="Q191" i="12" s="1"/>
  <c r="M192" i="12"/>
  <c r="Q192" i="12" s="1"/>
  <c r="M193" i="12"/>
  <c r="Q193" i="12" s="1"/>
  <c r="M194" i="12"/>
  <c r="Q194" i="12" s="1"/>
  <c r="M195" i="12"/>
  <c r="Q195" i="12" s="1"/>
  <c r="M196" i="12"/>
  <c r="Q196" i="12" s="1"/>
  <c r="M197" i="12"/>
  <c r="P197" i="12" s="1"/>
  <c r="M198" i="12"/>
  <c r="P198" i="12" s="1"/>
  <c r="M199" i="12"/>
  <c r="P199" i="12" s="1"/>
  <c r="M200" i="12"/>
  <c r="Q200" i="12" s="1"/>
  <c r="M201" i="12"/>
  <c r="Q201" i="12" s="1"/>
  <c r="M202" i="12"/>
  <c r="Q202" i="12" s="1"/>
  <c r="M203" i="12"/>
  <c r="Q203" i="12" s="1"/>
  <c r="M204" i="12"/>
  <c r="Q204" i="12" s="1"/>
  <c r="M205" i="12"/>
  <c r="Q205" i="12" s="1"/>
  <c r="M206" i="12"/>
  <c r="Q206" i="12" s="1"/>
  <c r="M207" i="12"/>
  <c r="Q207" i="12" s="1"/>
  <c r="M208" i="12"/>
  <c r="Q208" i="12" s="1"/>
  <c r="M209" i="12"/>
  <c r="Q209" i="12" s="1"/>
  <c r="M210" i="12"/>
  <c r="Q210" i="12" s="1"/>
  <c r="M211" i="12"/>
  <c r="Q211" i="12" s="1"/>
  <c r="M212" i="12"/>
  <c r="Q212" i="12" s="1"/>
  <c r="M213" i="12"/>
  <c r="P213" i="12" s="1"/>
  <c r="M214" i="12"/>
  <c r="P214" i="12" s="1"/>
  <c r="M215" i="12"/>
  <c r="P215" i="12" s="1"/>
  <c r="M216" i="12"/>
  <c r="Q216" i="12" s="1"/>
  <c r="M217" i="12"/>
  <c r="Q217" i="12" s="1"/>
  <c r="M218" i="12"/>
  <c r="Q218" i="12" s="1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K8" i="12"/>
  <c r="L8" i="12" s="1"/>
  <c r="K9" i="12"/>
  <c r="L9" i="12" s="1"/>
  <c r="K10" i="12"/>
  <c r="L10" i="12" s="1"/>
  <c r="K11" i="12"/>
  <c r="L11" i="12" s="1"/>
  <c r="K12" i="12"/>
  <c r="L12" i="12" s="1"/>
  <c r="K13" i="12"/>
  <c r="L13" i="12" s="1"/>
  <c r="K14" i="12"/>
  <c r="L14" i="12" s="1"/>
  <c r="K15" i="12"/>
  <c r="L15" i="12" s="1"/>
  <c r="K16" i="12"/>
  <c r="L16" i="12" s="1"/>
  <c r="K17" i="12"/>
  <c r="L17" i="12" s="1"/>
  <c r="K18" i="12"/>
  <c r="L18" i="12" s="1"/>
  <c r="K19" i="12"/>
  <c r="L19" i="12" s="1"/>
  <c r="K20" i="12"/>
  <c r="L20" i="12" s="1"/>
  <c r="K21" i="12"/>
  <c r="L21" i="12" s="1"/>
  <c r="K22" i="12"/>
  <c r="L22" i="12" s="1"/>
  <c r="K23" i="12"/>
  <c r="L23" i="12" s="1"/>
  <c r="K24" i="12"/>
  <c r="L24" i="12" s="1"/>
  <c r="K25" i="12"/>
  <c r="L25" i="12" s="1"/>
  <c r="K26" i="12"/>
  <c r="L26" i="12" s="1"/>
  <c r="K27" i="12"/>
  <c r="L27" i="12" s="1"/>
  <c r="K28" i="12"/>
  <c r="L28" i="12" s="1"/>
  <c r="K29" i="12"/>
  <c r="L29" i="12" s="1"/>
  <c r="K30" i="12"/>
  <c r="L30" i="12" s="1"/>
  <c r="K31" i="12"/>
  <c r="L31" i="12" s="1"/>
  <c r="K32" i="12"/>
  <c r="L32" i="12" s="1"/>
  <c r="K33" i="12"/>
  <c r="L33" i="12" s="1"/>
  <c r="K34" i="12"/>
  <c r="L34" i="12" s="1"/>
  <c r="K35" i="12"/>
  <c r="L35" i="12" s="1"/>
  <c r="K36" i="12"/>
  <c r="L36" i="12" s="1"/>
  <c r="K37" i="12"/>
  <c r="L37" i="12" s="1"/>
  <c r="K38" i="12"/>
  <c r="L38" i="12" s="1"/>
  <c r="K39" i="12"/>
  <c r="L39" i="12" s="1"/>
  <c r="K40" i="12"/>
  <c r="L40" i="12" s="1"/>
  <c r="K41" i="12"/>
  <c r="L41" i="12" s="1"/>
  <c r="K42" i="12"/>
  <c r="L42" i="12" s="1"/>
  <c r="K43" i="12"/>
  <c r="L43" i="12" s="1"/>
  <c r="K44" i="12"/>
  <c r="L44" i="12" s="1"/>
  <c r="K45" i="12"/>
  <c r="L45" i="12" s="1"/>
  <c r="K46" i="12"/>
  <c r="L46" i="12" s="1"/>
  <c r="K47" i="12"/>
  <c r="L47" i="12" s="1"/>
  <c r="K48" i="12"/>
  <c r="L48" i="12" s="1"/>
  <c r="K49" i="12"/>
  <c r="L49" i="12" s="1"/>
  <c r="K50" i="12"/>
  <c r="L50" i="12" s="1"/>
  <c r="K51" i="12"/>
  <c r="L51" i="12" s="1"/>
  <c r="K52" i="12"/>
  <c r="L52" i="12" s="1"/>
  <c r="K53" i="12"/>
  <c r="L53" i="12" s="1"/>
  <c r="K54" i="12"/>
  <c r="L54" i="12" s="1"/>
  <c r="K55" i="12"/>
  <c r="L55" i="12" s="1"/>
  <c r="K56" i="12"/>
  <c r="L56" i="12" s="1"/>
  <c r="K57" i="12"/>
  <c r="L57" i="12" s="1"/>
  <c r="K58" i="12"/>
  <c r="L58" i="12" s="1"/>
  <c r="K59" i="12"/>
  <c r="L59" i="12" s="1"/>
  <c r="K60" i="12"/>
  <c r="L60" i="12" s="1"/>
  <c r="K61" i="12"/>
  <c r="L61" i="12" s="1"/>
  <c r="K62" i="12"/>
  <c r="L62" i="12" s="1"/>
  <c r="K63" i="12"/>
  <c r="L63" i="12" s="1"/>
  <c r="K64" i="12"/>
  <c r="L64" i="12" s="1"/>
  <c r="K65" i="12"/>
  <c r="L65" i="12" s="1"/>
  <c r="K66" i="12"/>
  <c r="L66" i="12" s="1"/>
  <c r="K67" i="12"/>
  <c r="L67" i="12" s="1"/>
  <c r="K68" i="12"/>
  <c r="L68" i="12" s="1"/>
  <c r="K69" i="12"/>
  <c r="L69" i="12" s="1"/>
  <c r="K70" i="12"/>
  <c r="L70" i="12" s="1"/>
  <c r="K71" i="12"/>
  <c r="L71" i="12" s="1"/>
  <c r="K72" i="12"/>
  <c r="L72" i="12" s="1"/>
  <c r="K73" i="12"/>
  <c r="L73" i="12" s="1"/>
  <c r="K74" i="12"/>
  <c r="L74" i="12" s="1"/>
  <c r="K75" i="12"/>
  <c r="L75" i="12" s="1"/>
  <c r="K76" i="12"/>
  <c r="L76" i="12" s="1"/>
  <c r="K77" i="12"/>
  <c r="L77" i="12" s="1"/>
  <c r="K78" i="12"/>
  <c r="L78" i="12" s="1"/>
  <c r="K79" i="12"/>
  <c r="L79" i="12" s="1"/>
  <c r="K80" i="12"/>
  <c r="L80" i="12" s="1"/>
  <c r="K81" i="12"/>
  <c r="L81" i="12" s="1"/>
  <c r="K82" i="12"/>
  <c r="L82" i="12" s="1"/>
  <c r="K83" i="12"/>
  <c r="L83" i="12" s="1"/>
  <c r="K84" i="12"/>
  <c r="L84" i="12" s="1"/>
  <c r="K85" i="12"/>
  <c r="L85" i="12" s="1"/>
  <c r="K86" i="12"/>
  <c r="L86" i="12" s="1"/>
  <c r="K87" i="12"/>
  <c r="L87" i="12" s="1"/>
  <c r="K88" i="12"/>
  <c r="L88" i="12" s="1"/>
  <c r="K89" i="12"/>
  <c r="L89" i="12" s="1"/>
  <c r="K90" i="12"/>
  <c r="L90" i="12" s="1"/>
  <c r="K91" i="12"/>
  <c r="L91" i="12" s="1"/>
  <c r="K92" i="12"/>
  <c r="L92" i="12" s="1"/>
  <c r="K93" i="12"/>
  <c r="L93" i="12" s="1"/>
  <c r="K94" i="12"/>
  <c r="L94" i="12" s="1"/>
  <c r="K95" i="12"/>
  <c r="L95" i="12" s="1"/>
  <c r="K96" i="12"/>
  <c r="L96" i="12" s="1"/>
  <c r="K97" i="12"/>
  <c r="L97" i="12" s="1"/>
  <c r="K98" i="12"/>
  <c r="L98" i="12" s="1"/>
  <c r="K99" i="12"/>
  <c r="L99" i="12" s="1"/>
  <c r="K100" i="12"/>
  <c r="L100" i="12" s="1"/>
  <c r="K101" i="12"/>
  <c r="L101" i="12" s="1"/>
  <c r="K102" i="12"/>
  <c r="L102" i="12" s="1"/>
  <c r="K103" i="12"/>
  <c r="L103" i="12" s="1"/>
  <c r="K104" i="12"/>
  <c r="L104" i="12" s="1"/>
  <c r="K105" i="12"/>
  <c r="L105" i="12" s="1"/>
  <c r="K106" i="12"/>
  <c r="L106" i="12" s="1"/>
  <c r="K107" i="12"/>
  <c r="L107" i="12" s="1"/>
  <c r="K108" i="12"/>
  <c r="L108" i="12" s="1"/>
  <c r="K109" i="12"/>
  <c r="L109" i="12" s="1"/>
  <c r="K110" i="12"/>
  <c r="L110" i="12" s="1"/>
  <c r="K111" i="12"/>
  <c r="L111" i="12" s="1"/>
  <c r="K112" i="12"/>
  <c r="L112" i="12" s="1"/>
  <c r="K113" i="12"/>
  <c r="L113" i="12" s="1"/>
  <c r="K114" i="12"/>
  <c r="L114" i="12" s="1"/>
  <c r="K115" i="12"/>
  <c r="L115" i="12" s="1"/>
  <c r="K116" i="12"/>
  <c r="L116" i="12" s="1"/>
  <c r="K117" i="12"/>
  <c r="L117" i="12" s="1"/>
  <c r="K118" i="12"/>
  <c r="L118" i="12" s="1"/>
  <c r="K119" i="12"/>
  <c r="L119" i="12" s="1"/>
  <c r="K120" i="12"/>
  <c r="L120" i="12" s="1"/>
  <c r="K121" i="12"/>
  <c r="L121" i="12" s="1"/>
  <c r="K122" i="12"/>
  <c r="L122" i="12" s="1"/>
  <c r="K123" i="12"/>
  <c r="L123" i="12" s="1"/>
  <c r="K124" i="12"/>
  <c r="L124" i="12" s="1"/>
  <c r="K125" i="12"/>
  <c r="L125" i="12" s="1"/>
  <c r="K126" i="12"/>
  <c r="L126" i="12" s="1"/>
  <c r="K127" i="12"/>
  <c r="L127" i="12" s="1"/>
  <c r="K128" i="12"/>
  <c r="L128" i="12" s="1"/>
  <c r="K129" i="12"/>
  <c r="L129" i="12" s="1"/>
  <c r="K130" i="12"/>
  <c r="L130" i="12" s="1"/>
  <c r="K131" i="12"/>
  <c r="L131" i="12" s="1"/>
  <c r="K132" i="12"/>
  <c r="L132" i="12" s="1"/>
  <c r="K133" i="12"/>
  <c r="L133" i="12" s="1"/>
  <c r="K134" i="12"/>
  <c r="L134" i="12" s="1"/>
  <c r="K135" i="12"/>
  <c r="L135" i="12" s="1"/>
  <c r="K136" i="12"/>
  <c r="L136" i="12" s="1"/>
  <c r="K137" i="12"/>
  <c r="L137" i="12" s="1"/>
  <c r="K138" i="12"/>
  <c r="L138" i="12" s="1"/>
  <c r="K139" i="12"/>
  <c r="L139" i="12" s="1"/>
  <c r="K140" i="12"/>
  <c r="L140" i="12" s="1"/>
  <c r="K141" i="12"/>
  <c r="L141" i="12" s="1"/>
  <c r="K142" i="12"/>
  <c r="L142" i="12" s="1"/>
  <c r="K143" i="12"/>
  <c r="L143" i="12" s="1"/>
  <c r="K144" i="12"/>
  <c r="L144" i="12" s="1"/>
  <c r="K145" i="12"/>
  <c r="L145" i="12" s="1"/>
  <c r="K146" i="12"/>
  <c r="L146" i="12" s="1"/>
  <c r="K147" i="12"/>
  <c r="L147" i="12" s="1"/>
  <c r="K148" i="12"/>
  <c r="L148" i="12" s="1"/>
  <c r="K149" i="12"/>
  <c r="L149" i="12" s="1"/>
  <c r="K150" i="12"/>
  <c r="L150" i="12" s="1"/>
  <c r="K151" i="12"/>
  <c r="L151" i="12" s="1"/>
  <c r="K152" i="12"/>
  <c r="L152" i="12" s="1"/>
  <c r="K153" i="12"/>
  <c r="L153" i="12" s="1"/>
  <c r="K154" i="12"/>
  <c r="L154" i="12" s="1"/>
  <c r="K155" i="12"/>
  <c r="L155" i="12" s="1"/>
  <c r="K156" i="12"/>
  <c r="L156" i="12" s="1"/>
  <c r="K157" i="12"/>
  <c r="L157" i="12" s="1"/>
  <c r="K158" i="12"/>
  <c r="L158" i="12" s="1"/>
  <c r="K159" i="12"/>
  <c r="L159" i="12" s="1"/>
  <c r="K160" i="12"/>
  <c r="L160" i="12" s="1"/>
  <c r="K161" i="12"/>
  <c r="L161" i="12" s="1"/>
  <c r="K162" i="12"/>
  <c r="L162" i="12" s="1"/>
  <c r="K163" i="12"/>
  <c r="L163" i="12" s="1"/>
  <c r="K164" i="12"/>
  <c r="L164" i="12" s="1"/>
  <c r="K165" i="12"/>
  <c r="L165" i="12" s="1"/>
  <c r="K166" i="12"/>
  <c r="L166" i="12" s="1"/>
  <c r="K167" i="12"/>
  <c r="L167" i="12" s="1"/>
  <c r="K168" i="12"/>
  <c r="L168" i="12" s="1"/>
  <c r="K169" i="12"/>
  <c r="L169" i="12" s="1"/>
  <c r="K170" i="12"/>
  <c r="L170" i="12" s="1"/>
  <c r="K171" i="12"/>
  <c r="L171" i="12" s="1"/>
  <c r="K172" i="12"/>
  <c r="L172" i="12" s="1"/>
  <c r="K173" i="12"/>
  <c r="L173" i="12" s="1"/>
  <c r="K174" i="12"/>
  <c r="L174" i="12" s="1"/>
  <c r="K175" i="12"/>
  <c r="L175" i="12" s="1"/>
  <c r="K176" i="12"/>
  <c r="L176" i="12" s="1"/>
  <c r="K177" i="12"/>
  <c r="L177" i="12" s="1"/>
  <c r="K178" i="12"/>
  <c r="L178" i="12" s="1"/>
  <c r="K179" i="12"/>
  <c r="L179" i="12" s="1"/>
  <c r="K180" i="12"/>
  <c r="L180" i="12" s="1"/>
  <c r="K181" i="12"/>
  <c r="L181" i="12" s="1"/>
  <c r="K182" i="12"/>
  <c r="L182" i="12" s="1"/>
  <c r="K183" i="12"/>
  <c r="L183" i="12" s="1"/>
  <c r="K184" i="12"/>
  <c r="L184" i="12" s="1"/>
  <c r="K185" i="12"/>
  <c r="L185" i="12" s="1"/>
  <c r="K186" i="12"/>
  <c r="L186" i="12" s="1"/>
  <c r="K187" i="12"/>
  <c r="L187" i="12" s="1"/>
  <c r="K188" i="12"/>
  <c r="L188" i="12" s="1"/>
  <c r="K189" i="12"/>
  <c r="L189" i="12" s="1"/>
  <c r="K190" i="12"/>
  <c r="L190" i="12" s="1"/>
  <c r="K191" i="12"/>
  <c r="L191" i="12" s="1"/>
  <c r="K192" i="12"/>
  <c r="L192" i="12" s="1"/>
  <c r="K193" i="12"/>
  <c r="L193" i="12" s="1"/>
  <c r="K194" i="12"/>
  <c r="L194" i="12" s="1"/>
  <c r="K195" i="12"/>
  <c r="L195" i="12" s="1"/>
  <c r="K196" i="12"/>
  <c r="L196" i="12" s="1"/>
  <c r="K197" i="12"/>
  <c r="L197" i="12" s="1"/>
  <c r="K198" i="12"/>
  <c r="L198" i="12" s="1"/>
  <c r="K199" i="12"/>
  <c r="L199" i="12" s="1"/>
  <c r="K200" i="12"/>
  <c r="L200" i="12" s="1"/>
  <c r="K201" i="12"/>
  <c r="L201" i="12" s="1"/>
  <c r="K202" i="12"/>
  <c r="L202" i="12" s="1"/>
  <c r="K203" i="12"/>
  <c r="L203" i="12" s="1"/>
  <c r="K204" i="12"/>
  <c r="L204" i="12" s="1"/>
  <c r="K205" i="12"/>
  <c r="L205" i="12" s="1"/>
  <c r="K206" i="12"/>
  <c r="L206" i="12" s="1"/>
  <c r="K207" i="12"/>
  <c r="L207" i="12" s="1"/>
  <c r="K208" i="12"/>
  <c r="L208" i="12" s="1"/>
  <c r="K209" i="12"/>
  <c r="L209" i="12" s="1"/>
  <c r="K210" i="12"/>
  <c r="L210" i="12" s="1"/>
  <c r="K211" i="12"/>
  <c r="L211" i="12" s="1"/>
  <c r="K212" i="12"/>
  <c r="L212" i="12" s="1"/>
  <c r="K213" i="12"/>
  <c r="L213" i="12" s="1"/>
  <c r="K214" i="12"/>
  <c r="L214" i="12" s="1"/>
  <c r="K215" i="12"/>
  <c r="L215" i="12" s="1"/>
  <c r="K216" i="12"/>
  <c r="L216" i="12" s="1"/>
  <c r="K217" i="12"/>
  <c r="L217" i="12" s="1"/>
  <c r="K218" i="12"/>
  <c r="L218" i="12" s="1"/>
  <c r="AI212" i="12"/>
  <c r="AA217" i="12"/>
  <c r="AA215" i="12"/>
  <c r="AA214" i="12"/>
  <c r="AA213" i="12"/>
  <c r="AA211" i="12"/>
  <c r="AA210" i="12"/>
  <c r="AA209" i="12"/>
  <c r="AA207" i="12"/>
  <c r="AA206" i="12"/>
  <c r="AA205" i="12"/>
  <c r="AA203" i="12"/>
  <c r="AA202" i="12"/>
  <c r="AA201" i="12"/>
  <c r="AA199" i="12"/>
  <c r="AA198" i="12"/>
  <c r="AA197" i="12"/>
  <c r="AA195" i="12"/>
  <c r="AA194" i="12"/>
  <c r="AA193" i="12"/>
  <c r="AA191" i="12"/>
  <c r="AA190" i="12"/>
  <c r="AA189" i="12"/>
  <c r="AA187" i="12"/>
  <c r="AA186" i="12"/>
  <c r="AA185" i="12"/>
  <c r="AA183" i="12"/>
  <c r="AA182" i="12"/>
  <c r="AA181" i="12"/>
  <c r="AA179" i="12"/>
  <c r="AA178" i="12"/>
  <c r="AA177" i="12"/>
  <c r="AA175" i="12"/>
  <c r="AA174" i="12"/>
  <c r="AA173" i="12"/>
  <c r="AA171" i="12"/>
  <c r="AA170" i="12"/>
  <c r="AA169" i="12"/>
  <c r="AA167" i="12"/>
  <c r="AA166" i="12"/>
  <c r="AA165" i="12"/>
  <c r="AA163" i="12"/>
  <c r="AA162" i="12"/>
  <c r="AA161" i="12"/>
  <c r="AA159" i="12"/>
  <c r="AA158" i="12"/>
  <c r="AA157" i="12"/>
  <c r="AA155" i="12"/>
  <c r="AA154" i="12"/>
  <c r="AA153" i="12"/>
  <c r="AA151" i="12"/>
  <c r="AA150" i="12"/>
  <c r="AA149" i="12"/>
  <c r="AA147" i="12"/>
  <c r="AA146" i="12"/>
  <c r="AA145" i="12"/>
  <c r="AA143" i="12"/>
  <c r="AA142" i="12"/>
  <c r="AA141" i="12"/>
  <c r="AA139" i="12"/>
  <c r="AA138" i="12"/>
  <c r="AA137" i="12"/>
  <c r="AA135" i="12"/>
  <c r="AA134" i="12"/>
  <c r="AA133" i="12"/>
  <c r="AA131" i="12"/>
  <c r="AA130" i="12"/>
  <c r="AA129" i="12"/>
  <c r="AA127" i="12"/>
  <c r="AA126" i="12"/>
  <c r="AA125" i="12"/>
  <c r="AA123" i="12"/>
  <c r="AA122" i="12"/>
  <c r="AA121" i="12"/>
  <c r="AA119" i="12"/>
  <c r="AA118" i="12"/>
  <c r="AA117" i="12"/>
  <c r="AA115" i="12"/>
  <c r="AA114" i="12"/>
  <c r="AA113" i="12"/>
  <c r="AA111" i="12"/>
  <c r="AA110" i="12"/>
  <c r="AA109" i="12"/>
  <c r="AA107" i="12"/>
  <c r="AA106" i="12"/>
  <c r="AA105" i="12"/>
  <c r="AA103" i="12"/>
  <c r="AA102" i="12"/>
  <c r="AA101" i="12"/>
  <c r="AA99" i="12"/>
  <c r="AA98" i="12"/>
  <c r="AA97" i="12"/>
  <c r="AA95" i="12"/>
  <c r="AA94" i="12"/>
  <c r="AA93" i="12"/>
  <c r="AA91" i="12"/>
  <c r="AA90" i="12"/>
  <c r="AA89" i="12"/>
  <c r="AA87" i="12"/>
  <c r="AA86" i="12"/>
  <c r="AA85" i="12"/>
  <c r="AA83" i="12"/>
  <c r="AA82" i="12"/>
  <c r="AA81" i="12"/>
  <c r="AA79" i="12"/>
  <c r="AA78" i="12"/>
  <c r="AA77" i="12"/>
  <c r="AA75" i="12"/>
  <c r="AA74" i="12"/>
  <c r="AA73" i="12"/>
  <c r="AA71" i="12"/>
  <c r="AA70" i="12"/>
  <c r="AA69" i="12"/>
  <c r="AA67" i="12"/>
  <c r="AA66" i="12"/>
  <c r="AA65" i="12"/>
  <c r="AA63" i="12"/>
  <c r="AA62" i="12"/>
  <c r="AA61" i="12"/>
  <c r="AA59" i="12"/>
  <c r="AA58" i="12"/>
  <c r="AA57" i="12"/>
  <c r="AA55" i="12"/>
  <c r="AA54" i="12"/>
  <c r="AA53" i="12"/>
  <c r="AA51" i="12"/>
  <c r="AA50" i="12"/>
  <c r="AA49" i="12"/>
  <c r="AA47" i="12"/>
  <c r="AA46" i="12"/>
  <c r="AA45" i="12"/>
  <c r="AA43" i="12"/>
  <c r="AA42" i="12"/>
  <c r="AA41" i="12"/>
  <c r="AA39" i="12"/>
  <c r="AA38" i="12"/>
  <c r="AA37" i="12"/>
  <c r="AA35" i="12"/>
  <c r="AA34" i="12"/>
  <c r="AA33" i="12"/>
  <c r="AA31" i="12"/>
  <c r="AA30" i="12"/>
  <c r="AA29" i="12"/>
  <c r="AA27" i="12"/>
  <c r="AA26" i="12"/>
  <c r="AA25" i="12"/>
  <c r="AA23" i="12"/>
  <c r="AA22" i="12"/>
  <c r="AA21" i="12"/>
  <c r="AA19" i="12"/>
  <c r="AA18" i="12"/>
  <c r="AA17" i="12"/>
  <c r="AA15" i="12"/>
  <c r="AA14" i="12"/>
  <c r="AA13" i="12"/>
  <c r="AA11" i="12"/>
  <c r="AA10" i="12"/>
  <c r="AA9" i="12"/>
  <c r="AC217" i="12"/>
  <c r="AC215" i="12"/>
  <c r="AC214" i="12"/>
  <c r="AC213" i="12"/>
  <c r="AC211" i="12"/>
  <c r="AC210" i="12"/>
  <c r="AC209" i="12"/>
  <c r="AC207" i="12"/>
  <c r="AC206" i="12"/>
  <c r="AC205" i="12"/>
  <c r="AC203" i="12"/>
  <c r="AC202" i="12"/>
  <c r="AC201" i="12"/>
  <c r="AC199" i="12"/>
  <c r="AC198" i="12"/>
  <c r="AC197" i="12"/>
  <c r="AC195" i="12"/>
  <c r="AC194" i="12"/>
  <c r="AC193" i="12"/>
  <c r="AC191" i="12"/>
  <c r="AC190" i="12"/>
  <c r="AC189" i="12"/>
  <c r="AC187" i="12"/>
  <c r="AC186" i="12"/>
  <c r="AC185" i="12"/>
  <c r="AC183" i="12"/>
  <c r="AC182" i="12"/>
  <c r="AC181" i="12"/>
  <c r="AC179" i="12"/>
  <c r="AC178" i="12"/>
  <c r="AC177" i="12"/>
  <c r="AC175" i="12"/>
  <c r="AC174" i="12"/>
  <c r="AC173" i="12"/>
  <c r="AC171" i="12"/>
  <c r="AC170" i="12"/>
  <c r="AC169" i="12"/>
  <c r="AC167" i="12"/>
  <c r="AC166" i="12"/>
  <c r="AC165" i="12"/>
  <c r="AC163" i="12"/>
  <c r="AC162" i="12"/>
  <c r="AC161" i="12"/>
  <c r="AC159" i="12"/>
  <c r="AC158" i="12"/>
  <c r="AC157" i="12"/>
  <c r="AC155" i="12"/>
  <c r="AC154" i="12"/>
  <c r="AC153" i="12"/>
  <c r="AC151" i="12"/>
  <c r="AC150" i="12"/>
  <c r="AC149" i="12"/>
  <c r="AC147" i="12"/>
  <c r="AC146" i="12"/>
  <c r="AC145" i="12"/>
  <c r="AC143" i="12"/>
  <c r="AC142" i="12"/>
  <c r="AC141" i="12"/>
  <c r="AC139" i="12"/>
  <c r="AC138" i="12"/>
  <c r="AC137" i="12"/>
  <c r="AC135" i="12"/>
  <c r="AC134" i="12"/>
  <c r="AC133" i="12"/>
  <c r="AC131" i="12"/>
  <c r="AC130" i="12"/>
  <c r="AC129" i="12"/>
  <c r="AC127" i="12"/>
  <c r="AC126" i="12"/>
  <c r="AC125" i="12"/>
  <c r="AC123" i="12"/>
  <c r="AC122" i="12"/>
  <c r="AC121" i="12"/>
  <c r="AC119" i="12"/>
  <c r="AC118" i="12"/>
  <c r="AC117" i="12"/>
  <c r="AC115" i="12"/>
  <c r="AC114" i="12"/>
  <c r="AC113" i="12"/>
  <c r="AC111" i="12"/>
  <c r="AC110" i="12"/>
  <c r="AC109" i="12"/>
  <c r="AC107" i="12"/>
  <c r="AC106" i="12"/>
  <c r="AC105" i="12"/>
  <c r="AC103" i="12"/>
  <c r="AC102" i="12"/>
  <c r="AC101" i="12"/>
  <c r="AC99" i="12"/>
  <c r="AC98" i="12"/>
  <c r="AC97" i="12"/>
  <c r="AC95" i="12"/>
  <c r="AC94" i="12"/>
  <c r="AC93" i="12"/>
  <c r="AC91" i="12"/>
  <c r="AC90" i="12"/>
  <c r="AC89" i="12"/>
  <c r="AC87" i="12"/>
  <c r="AC86" i="12"/>
  <c r="AC85" i="12"/>
  <c r="AC83" i="12"/>
  <c r="AC82" i="12"/>
  <c r="AC81" i="12"/>
  <c r="AC79" i="12"/>
  <c r="AC78" i="12"/>
  <c r="AC77" i="12"/>
  <c r="AC75" i="12"/>
  <c r="AC74" i="12"/>
  <c r="AC73" i="12"/>
  <c r="AC71" i="12"/>
  <c r="AC70" i="12"/>
  <c r="AC69" i="12"/>
  <c r="AC67" i="12"/>
  <c r="AC66" i="12"/>
  <c r="AC65" i="12"/>
  <c r="AC63" i="12"/>
  <c r="AC62" i="12"/>
  <c r="AC61" i="12"/>
  <c r="AC59" i="12"/>
  <c r="AC58" i="12"/>
  <c r="AC57" i="12"/>
  <c r="AC55" i="12"/>
  <c r="AC54" i="12"/>
  <c r="AC53" i="12"/>
  <c r="AC51" i="12"/>
  <c r="AC50" i="12"/>
  <c r="AC49" i="12"/>
  <c r="AC47" i="12"/>
  <c r="AC46" i="12"/>
  <c r="AC45" i="12"/>
  <c r="AC43" i="12"/>
  <c r="AC42" i="12"/>
  <c r="AC41" i="12"/>
  <c r="AC39" i="12"/>
  <c r="AC38" i="12"/>
  <c r="AC37" i="12"/>
  <c r="AC35" i="12"/>
  <c r="AC34" i="12"/>
  <c r="AC33" i="12"/>
  <c r="AC31" i="12"/>
  <c r="AC30" i="12"/>
  <c r="AC29" i="12"/>
  <c r="AC27" i="12"/>
  <c r="AC26" i="12"/>
  <c r="AC25" i="12"/>
  <c r="AC23" i="12"/>
  <c r="AC22" i="12"/>
  <c r="AC21" i="12"/>
  <c r="AC19" i="12"/>
  <c r="AC18" i="12"/>
  <c r="AC17" i="12"/>
  <c r="AC15" i="12"/>
  <c r="AC14" i="12"/>
  <c r="AC13" i="12"/>
  <c r="AC11" i="12"/>
  <c r="AC10" i="12"/>
  <c r="AC9" i="12"/>
  <c r="P212" i="12" l="1"/>
  <c r="P196" i="12"/>
  <c r="P180" i="12"/>
  <c r="P164" i="12"/>
  <c r="P148" i="12"/>
  <c r="P132" i="12"/>
  <c r="P116" i="12"/>
  <c r="P100" i="12"/>
  <c r="P84" i="12"/>
  <c r="P68" i="12"/>
  <c r="P52" i="12"/>
  <c r="P36" i="12"/>
  <c r="P20" i="12"/>
  <c r="Q215" i="12"/>
  <c r="Q199" i="12"/>
  <c r="Q183" i="12"/>
  <c r="Q167" i="12"/>
  <c r="Q151" i="12"/>
  <c r="Q135" i="12"/>
  <c r="Q119" i="12"/>
  <c r="Q103" i="12"/>
  <c r="Q87" i="12"/>
  <c r="Q71" i="12"/>
  <c r="Q55" i="12"/>
  <c r="Q39" i="12"/>
  <c r="Q23" i="12"/>
  <c r="P211" i="12"/>
  <c r="P195" i="12"/>
  <c r="P179" i="12"/>
  <c r="P163" i="12"/>
  <c r="P147" i="12"/>
  <c r="P131" i="12"/>
  <c r="P115" i="12"/>
  <c r="P99" i="12"/>
  <c r="P83" i="12"/>
  <c r="P67" i="12"/>
  <c r="P51" i="12"/>
  <c r="P35" i="12"/>
  <c r="P19" i="12"/>
  <c r="Q214" i="12"/>
  <c r="Q198" i="12"/>
  <c r="Q182" i="12"/>
  <c r="Q166" i="12"/>
  <c r="Q150" i="12"/>
  <c r="Q134" i="12"/>
  <c r="Q118" i="12"/>
  <c r="Q102" i="12"/>
  <c r="Q86" i="12"/>
  <c r="Q70" i="12"/>
  <c r="Q54" i="12"/>
  <c r="Q38" i="12"/>
  <c r="Q22" i="12"/>
  <c r="P210" i="12"/>
  <c r="P194" i="12"/>
  <c r="P178" i="12"/>
  <c r="P162" i="12"/>
  <c r="P146" i="12"/>
  <c r="P130" i="12"/>
  <c r="P114" i="12"/>
  <c r="P98" i="12"/>
  <c r="P82" i="12"/>
  <c r="P66" i="12"/>
  <c r="P50" i="12"/>
  <c r="P34" i="12"/>
  <c r="P18" i="12"/>
  <c r="Q213" i="12"/>
  <c r="Q197" i="12"/>
  <c r="Q181" i="12"/>
  <c r="Q165" i="12"/>
  <c r="Q149" i="12"/>
  <c r="Q133" i="12"/>
  <c r="Q117" i="12"/>
  <c r="Q101" i="12"/>
  <c r="Q85" i="12"/>
  <c r="Q69" i="12"/>
  <c r="Q53" i="12"/>
  <c r="Q37" i="12"/>
  <c r="Q21" i="12"/>
  <c r="P209" i="12"/>
  <c r="P193" i="12"/>
  <c r="P177" i="12"/>
  <c r="P161" i="12"/>
  <c r="P145" i="12"/>
  <c r="P129" i="12"/>
  <c r="P113" i="12"/>
  <c r="P97" i="12"/>
  <c r="P81" i="12"/>
  <c r="P65" i="12"/>
  <c r="P49" i="12"/>
  <c r="P33" i="12"/>
  <c r="P17" i="12"/>
  <c r="P208" i="12"/>
  <c r="P192" i="12"/>
  <c r="P176" i="12"/>
  <c r="P160" i="12"/>
  <c r="P144" i="12"/>
  <c r="P128" i="12"/>
  <c r="P112" i="12"/>
  <c r="P96" i="12"/>
  <c r="P80" i="12"/>
  <c r="P64" i="12"/>
  <c r="P48" i="12"/>
  <c r="P32" i="12"/>
  <c r="P16" i="12"/>
  <c r="P207" i="12"/>
  <c r="P191" i="12"/>
  <c r="P175" i="12"/>
  <c r="P159" i="12"/>
  <c r="P143" i="12"/>
  <c r="P127" i="12"/>
  <c r="P111" i="12"/>
  <c r="P95" i="12"/>
  <c r="P79" i="12"/>
  <c r="P63" i="12"/>
  <c r="P47" i="12"/>
  <c r="P31" i="12"/>
  <c r="P15" i="12"/>
  <c r="P206" i="12"/>
  <c r="P190" i="12"/>
  <c r="P174" i="12"/>
  <c r="P158" i="12"/>
  <c r="P142" i="12"/>
  <c r="P126" i="12"/>
  <c r="P110" i="12"/>
  <c r="P94" i="12"/>
  <c r="P78" i="12"/>
  <c r="P62" i="12"/>
  <c r="P46" i="12"/>
  <c r="P30" i="12"/>
  <c r="P14" i="12"/>
  <c r="P205" i="12"/>
  <c r="P189" i="12"/>
  <c r="P173" i="12"/>
  <c r="P157" i="12"/>
  <c r="P141" i="12"/>
  <c r="P125" i="12"/>
  <c r="P109" i="12"/>
  <c r="P93" i="12"/>
  <c r="P77" i="12"/>
  <c r="P61" i="12"/>
  <c r="P45" i="12"/>
  <c r="P29" i="12"/>
  <c r="P13" i="12"/>
  <c r="P204" i="12"/>
  <c r="P188" i="12"/>
  <c r="P172" i="12"/>
  <c r="P156" i="12"/>
  <c r="P140" i="12"/>
  <c r="P124" i="12"/>
  <c r="P108" i="12"/>
  <c r="P92" i="12"/>
  <c r="P76" i="12"/>
  <c r="P60" i="12"/>
  <c r="P44" i="12"/>
  <c r="P28" i="12"/>
  <c r="P12" i="12"/>
  <c r="P203" i="12"/>
  <c r="P187" i="12"/>
  <c r="P171" i="12"/>
  <c r="P155" i="12"/>
  <c r="P139" i="12"/>
  <c r="P123" i="12"/>
  <c r="P107" i="12"/>
  <c r="P91" i="12"/>
  <c r="P75" i="12"/>
  <c r="P59" i="12"/>
  <c r="P43" i="12"/>
  <c r="P27" i="12"/>
  <c r="P11" i="12"/>
  <c r="P218" i="12"/>
  <c r="P202" i="12"/>
  <c r="P186" i="12"/>
  <c r="P170" i="12"/>
  <c r="P154" i="12"/>
  <c r="P138" i="12"/>
  <c r="P122" i="12"/>
  <c r="P106" i="12"/>
  <c r="P90" i="12"/>
  <c r="P74" i="12"/>
  <c r="P58" i="12"/>
  <c r="P42" i="12"/>
  <c r="P26" i="12"/>
  <c r="P10" i="12"/>
  <c r="P217" i="12"/>
  <c r="P201" i="12"/>
  <c r="P185" i="12"/>
  <c r="P169" i="12"/>
  <c r="P153" i="12"/>
  <c r="P137" i="12"/>
  <c r="P121" i="12"/>
  <c r="P105" i="12"/>
  <c r="P89" i="12"/>
  <c r="P73" i="12"/>
  <c r="P57" i="12"/>
  <c r="P41" i="12"/>
  <c r="P25" i="12"/>
  <c r="P9" i="12"/>
  <c r="P216" i="12"/>
  <c r="P200" i="12"/>
  <c r="P184" i="12"/>
  <c r="P168" i="12"/>
  <c r="P152" i="12"/>
  <c r="P136" i="12"/>
  <c r="P120" i="12"/>
  <c r="P104" i="12"/>
  <c r="P88" i="12"/>
  <c r="P72" i="12"/>
  <c r="P56" i="12"/>
  <c r="P40" i="12"/>
  <c r="P24" i="12"/>
  <c r="P8" i="12"/>
  <c r="AI40" i="12"/>
  <c r="AM124" i="12"/>
  <c r="AI56" i="12"/>
  <c r="AI216" i="12"/>
  <c r="AI84" i="12"/>
  <c r="AM64" i="12"/>
  <c r="AI88" i="12"/>
  <c r="AL164" i="12"/>
  <c r="AL100" i="12"/>
  <c r="AL36" i="12"/>
  <c r="AL28" i="12"/>
  <c r="AM116" i="12"/>
  <c r="AD68" i="12"/>
  <c r="AM180" i="12"/>
  <c r="AM52" i="12"/>
  <c r="AD64" i="12"/>
  <c r="AL216" i="12"/>
  <c r="AL152" i="12"/>
  <c r="AL88" i="12"/>
  <c r="AL24" i="12"/>
  <c r="AM176" i="12"/>
  <c r="AM112" i="12"/>
  <c r="AM108" i="12" s="1"/>
  <c r="AI68" i="12"/>
  <c r="AM40" i="12"/>
  <c r="AI192" i="12"/>
  <c r="AI128" i="12"/>
  <c r="AI64" i="12"/>
  <c r="AM100" i="12"/>
  <c r="AD116" i="12"/>
  <c r="AD52" i="12"/>
  <c r="AM164" i="12"/>
  <c r="AM36" i="12"/>
  <c r="AM32" i="12" s="1"/>
  <c r="AM160" i="12"/>
  <c r="AM156" i="12" s="1"/>
  <c r="AM96" i="12"/>
  <c r="AM28" i="12"/>
  <c r="AI180" i="12"/>
  <c r="AI116" i="12"/>
  <c r="AI52" i="12"/>
  <c r="AI48" i="12" s="1"/>
  <c r="AL188" i="12"/>
  <c r="AL124" i="12"/>
  <c r="AM212" i="12"/>
  <c r="AM84" i="12"/>
  <c r="AD100" i="12"/>
  <c r="AD36" i="12"/>
  <c r="AM148" i="12"/>
  <c r="AD96" i="12"/>
  <c r="AI164" i="12"/>
  <c r="AI100" i="12"/>
  <c r="AI36" i="12"/>
  <c r="AI32" i="12" s="1"/>
  <c r="AI16" i="12" s="1"/>
  <c r="AM68" i="12"/>
  <c r="AM60" i="12" s="1"/>
  <c r="AI28" i="12"/>
  <c r="AD148" i="12"/>
  <c r="AD84" i="12"/>
  <c r="AC100" i="12"/>
  <c r="AC84" i="12"/>
  <c r="AC68" i="12"/>
  <c r="AC52" i="12"/>
  <c r="AC36" i="12"/>
  <c r="AD208" i="12"/>
  <c r="AI124" i="12"/>
  <c r="AI120" i="12" s="1"/>
  <c r="AM128" i="12"/>
  <c r="AM120" i="12" s="1"/>
  <c r="AI148" i="12"/>
  <c r="AM188" i="12"/>
  <c r="AI152" i="12"/>
  <c r="AI144" i="12" s="1"/>
  <c r="AM192" i="12"/>
  <c r="AM208" i="12"/>
  <c r="AL40" i="12"/>
  <c r="AI20" i="12"/>
  <c r="AI188" i="12"/>
  <c r="AI184" i="12" s="1"/>
  <c r="AL56" i="12"/>
  <c r="AI24" i="12"/>
  <c r="AC116" i="12"/>
  <c r="AC148" i="12"/>
  <c r="AC164" i="12"/>
  <c r="AC180" i="12"/>
  <c r="AC212" i="12"/>
  <c r="AD212" i="12"/>
  <c r="Z112" i="12"/>
  <c r="Z176" i="12"/>
  <c r="AA28" i="12"/>
  <c r="AA124" i="12"/>
  <c r="AA188" i="12"/>
  <c r="AI96" i="12"/>
  <c r="AI160" i="12"/>
  <c r="AI156" i="12" s="1"/>
  <c r="AL112" i="12"/>
  <c r="AL176" i="12"/>
  <c r="AD24" i="12"/>
  <c r="AD20" i="12" s="1"/>
  <c r="AD88" i="12"/>
  <c r="AD152" i="12"/>
  <c r="AD216" i="12"/>
  <c r="Z52" i="12"/>
  <c r="Z116" i="12"/>
  <c r="Z108" i="12" s="1"/>
  <c r="Z180" i="12"/>
  <c r="AL52" i="12"/>
  <c r="AL116" i="12"/>
  <c r="AL180" i="12"/>
  <c r="AD28" i="12"/>
  <c r="Z56" i="12"/>
  <c r="AD160" i="12"/>
  <c r="AC24" i="12"/>
  <c r="AC40" i="12"/>
  <c r="AC32" i="12" s="1"/>
  <c r="AC56" i="12"/>
  <c r="AC88" i="12"/>
  <c r="AC80" i="12" s="1"/>
  <c r="AC152" i="12"/>
  <c r="AC144" i="12" s="1"/>
  <c r="AC216" i="12"/>
  <c r="Z124" i="12"/>
  <c r="Z188" i="12"/>
  <c r="AD164" i="12"/>
  <c r="Z64" i="12"/>
  <c r="Z128" i="12"/>
  <c r="Z192" i="12"/>
  <c r="AA64" i="12"/>
  <c r="AA96" i="12"/>
  <c r="AA112" i="12"/>
  <c r="AA128" i="12"/>
  <c r="AA160" i="12"/>
  <c r="AA176" i="12"/>
  <c r="AA192" i="12"/>
  <c r="AA184" i="12" s="1"/>
  <c r="AA208" i="12"/>
  <c r="AI112" i="12"/>
  <c r="AI108" i="12" s="1"/>
  <c r="AI104" i="12" s="1"/>
  <c r="AI176" i="12"/>
  <c r="AI172" i="12" s="1"/>
  <c r="AM24" i="12"/>
  <c r="AM20" i="12" s="1"/>
  <c r="AM16" i="12" s="1"/>
  <c r="AM88" i="12"/>
  <c r="AM152" i="12"/>
  <c r="AM144" i="12" s="1"/>
  <c r="AM216" i="12"/>
  <c r="AL64" i="12"/>
  <c r="AL128" i="12"/>
  <c r="AL192" i="12"/>
  <c r="AD40" i="12"/>
  <c r="Z68" i="12"/>
  <c r="AL68" i="12"/>
  <c r="AD112" i="12"/>
  <c r="AD108" i="12" s="1"/>
  <c r="AD176" i="12"/>
  <c r="AC28" i="12"/>
  <c r="AC124" i="12"/>
  <c r="AC120" i="12" s="1"/>
  <c r="AC188" i="12"/>
  <c r="AD180" i="12"/>
  <c r="Z208" i="12"/>
  <c r="AA36" i="12"/>
  <c r="AA52" i="12"/>
  <c r="AA68" i="12"/>
  <c r="AA84" i="12"/>
  <c r="AA100" i="12"/>
  <c r="AA116" i="12"/>
  <c r="AA148" i="12"/>
  <c r="AA164" i="12"/>
  <c r="AA180" i="12"/>
  <c r="AA212" i="12"/>
  <c r="AL208" i="12"/>
  <c r="AL204" i="12" s="1"/>
  <c r="AD56" i="12"/>
  <c r="AD48" i="12" s="1"/>
  <c r="Z84" i="12"/>
  <c r="Z148" i="12"/>
  <c r="Z212" i="12"/>
  <c r="AM172" i="12"/>
  <c r="AL20" i="12"/>
  <c r="AL84" i="12"/>
  <c r="AL80" i="12" s="1"/>
  <c r="AL148" i="12"/>
  <c r="AL144" i="12" s="1"/>
  <c r="AL212" i="12"/>
  <c r="AD124" i="12"/>
  <c r="AD188" i="12"/>
  <c r="Z24" i="12"/>
  <c r="Z88" i="12"/>
  <c r="Z152" i="12"/>
  <c r="Z216" i="12"/>
  <c r="AD128" i="12"/>
  <c r="AD120" i="12" s="1"/>
  <c r="AD192" i="12"/>
  <c r="AC64" i="12"/>
  <c r="AC60" i="12" s="1"/>
  <c r="AC96" i="12"/>
  <c r="AC92" i="12" s="1"/>
  <c r="AC112" i="12"/>
  <c r="AC108" i="12" s="1"/>
  <c r="AC128" i="12"/>
  <c r="AC160" i="12"/>
  <c r="AC176" i="12"/>
  <c r="AC192" i="12"/>
  <c r="AC208" i="12"/>
  <c r="AC204" i="12" s="1"/>
  <c r="Z28" i="12"/>
  <c r="Z96" i="12"/>
  <c r="Z160" i="12"/>
  <c r="AA24" i="12"/>
  <c r="AA40" i="12"/>
  <c r="AA56" i="12"/>
  <c r="AA88" i="12"/>
  <c r="AA120" i="12"/>
  <c r="AA152" i="12"/>
  <c r="AA216" i="12"/>
  <c r="AI80" i="12"/>
  <c r="AI208" i="12"/>
  <c r="AI204" i="12" s="1"/>
  <c r="AI200" i="12" s="1"/>
  <c r="AI196" i="12" s="1"/>
  <c r="AM56" i="12"/>
  <c r="AL32" i="12"/>
  <c r="AL96" i="12"/>
  <c r="AL92" i="12" s="1"/>
  <c r="AL160" i="12"/>
  <c r="AL156" i="12" s="1"/>
  <c r="Z36" i="12"/>
  <c r="Z100" i="12"/>
  <c r="Z164" i="12"/>
  <c r="Z40" i="12"/>
  <c r="Z184" i="12" l="1"/>
  <c r="AL172" i="12"/>
  <c r="AI140" i="12"/>
  <c r="AL48" i="12"/>
  <c r="Z172" i="12"/>
  <c r="AC172" i="12"/>
  <c r="AM184" i="12"/>
  <c r="AM168" i="12" s="1"/>
  <c r="AM136" i="12" s="1"/>
  <c r="Z204" i="12"/>
  <c r="Z200" i="12" s="1"/>
  <c r="Z196" i="12" s="1"/>
  <c r="AM140" i="12"/>
  <c r="Z120" i="12"/>
  <c r="Z104" i="12" s="1"/>
  <c r="AD60" i="12"/>
  <c r="AD44" i="12" s="1"/>
  <c r="AD204" i="12"/>
  <c r="AD200" i="12" s="1"/>
  <c r="AD196" i="12" s="1"/>
  <c r="AL200" i="12"/>
  <c r="AL196" i="12" s="1"/>
  <c r="AA144" i="12"/>
  <c r="Z32" i="12"/>
  <c r="Z16" i="12" s="1"/>
  <c r="Z60" i="12"/>
  <c r="AI92" i="12"/>
  <c r="AI76" i="12" s="1"/>
  <c r="AI72" i="12" s="1"/>
  <c r="AA20" i="12"/>
  <c r="Z20" i="12"/>
  <c r="AC200" i="12"/>
  <c r="AC196" i="12" s="1"/>
  <c r="AA80" i="12"/>
  <c r="Z168" i="12"/>
  <c r="AM92" i="12"/>
  <c r="AA204" i="12"/>
  <c r="AA200" i="12" s="1"/>
  <c r="AA196" i="12" s="1"/>
  <c r="Z144" i="12"/>
  <c r="Z80" i="12"/>
  <c r="AC184" i="12"/>
  <c r="AC168" i="12" s="1"/>
  <c r="Z48" i="12"/>
  <c r="Z44" i="12" s="1"/>
  <c r="Z12" i="12" s="1"/>
  <c r="AD92" i="12"/>
  <c r="AI168" i="12"/>
  <c r="AM104" i="12"/>
  <c r="AM48" i="12"/>
  <c r="AM44" i="12" s="1"/>
  <c r="AM12" i="12" s="1"/>
  <c r="AD32" i="12"/>
  <c r="AM80" i="12"/>
  <c r="AM76" i="12" s="1"/>
  <c r="AI60" i="12"/>
  <c r="AI44" i="12" s="1"/>
  <c r="AI12" i="12" s="1"/>
  <c r="AI8" i="12" s="1"/>
  <c r="AA172" i="12"/>
  <c r="AA168" i="12" s="1"/>
  <c r="AC48" i="12"/>
  <c r="AC44" i="12" s="1"/>
  <c r="AM204" i="12"/>
  <c r="AM200" i="12" s="1"/>
  <c r="AM196" i="12" s="1"/>
  <c r="AA156" i="12"/>
  <c r="AA140" i="12" s="1"/>
  <c r="AC20" i="12"/>
  <c r="AC16" i="12" s="1"/>
  <c r="AL108" i="12"/>
  <c r="AL120" i="12"/>
  <c r="AL184" i="12"/>
  <c r="AL168" i="12" s="1"/>
  <c r="AA108" i="12"/>
  <c r="AA104" i="12" s="1"/>
  <c r="AA92" i="12"/>
  <c r="AA76" i="12" s="1"/>
  <c r="AD80" i="12"/>
  <c r="AD76" i="12" s="1"/>
  <c r="AD72" i="12" s="1"/>
  <c r="AA48" i="12"/>
  <c r="AA44" i="12" s="1"/>
  <c r="AA60" i="12"/>
  <c r="Z156" i="12"/>
  <c r="Z92" i="12"/>
  <c r="AC156" i="12"/>
  <c r="AC140" i="12" s="1"/>
  <c r="AL16" i="12"/>
  <c r="AA32" i="12"/>
  <c r="AI136" i="12"/>
  <c r="AI132" i="12" s="1"/>
  <c r="AL60" i="12"/>
  <c r="AL44" i="12" s="1"/>
  <c r="AD144" i="12"/>
  <c r="AD104" i="12"/>
  <c r="AD156" i="12"/>
  <c r="AD172" i="12"/>
  <c r="AD184" i="12"/>
  <c r="AL140" i="12"/>
  <c r="AL76" i="12"/>
  <c r="Z140" i="12"/>
  <c r="Z136" i="12" s="1"/>
  <c r="Z132" i="12" s="1"/>
  <c r="AC76" i="12"/>
  <c r="AC104" i="12"/>
  <c r="AD16" i="12"/>
  <c r="AA72" i="12" l="1"/>
  <c r="AA136" i="12"/>
  <c r="AA132" i="12" s="1"/>
  <c r="AM72" i="12"/>
  <c r="AM8" i="12" s="1"/>
  <c r="AA16" i="12"/>
  <c r="AA12" i="12" s="1"/>
  <c r="AA8" i="12" s="1"/>
  <c r="AA220" i="12" s="1"/>
  <c r="AL104" i="12"/>
  <c r="AL72" i="12" s="1"/>
  <c r="AL8" i="12" s="1"/>
  <c r="AL220" i="12" s="1"/>
  <c r="AC12" i="12"/>
  <c r="AD12" i="12"/>
  <c r="AD8" i="12" s="1"/>
  <c r="AI220" i="12"/>
  <c r="AD140" i="12"/>
  <c r="AC72" i="12"/>
  <c r="AC8" i="12" s="1"/>
  <c r="AC220" i="12" s="1"/>
  <c r="AL12" i="12"/>
  <c r="AC136" i="12"/>
  <c r="AC132" i="12" s="1"/>
  <c r="Z76" i="12"/>
  <c r="Z72" i="12" s="1"/>
  <c r="Z8" i="12" s="1"/>
  <c r="Z220" i="12" s="1"/>
  <c r="AL136" i="12"/>
  <c r="AL132" i="12" s="1"/>
  <c r="AM132" i="12"/>
  <c r="AD168" i="12"/>
  <c r="AM220" i="12" l="1"/>
  <c r="AD136" i="12"/>
  <c r="AD132" i="12" s="1"/>
  <c r="AD220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R2" authorId="0" shapeId="0" xr:uid="{2C0DB724-0F60-4165-BD08-A8BBA208A857}">
      <text>
        <r>
          <rPr>
            <sz val="9"/>
            <color indexed="81"/>
            <rFont val="MS P ゴシック"/>
            <family val="3"/>
            <charset val="128"/>
          </rPr>
          <t>バージョン：v0.1.0_x000D_
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<sst xmlns="http://schemas.openxmlformats.org/spreadsheetml/2006/main" count="2058" uniqueCount="258">
  <si>
    <t>L1</t>
    <phoneticPr fontId="1"/>
  </si>
  <si>
    <t>L2</t>
    <phoneticPr fontId="1"/>
  </si>
  <si>
    <t>L3</t>
    <phoneticPr fontId="1"/>
  </si>
  <si>
    <t>階層番号</t>
    <rPh sb="0" eb="4">
      <t>カイソウバンゴウ</t>
    </rPh>
    <phoneticPr fontId="1"/>
  </si>
  <si>
    <t>作業内容</t>
    <rPh sb="0" eb="4">
      <t>サギョウナイヨウ</t>
    </rPh>
    <phoneticPr fontId="1"/>
  </si>
  <si>
    <t>担当</t>
    <rPh sb="0" eb="2">
      <t>タントウ</t>
    </rPh>
    <phoneticPr fontId="1"/>
  </si>
  <si>
    <t>ステータス</t>
    <phoneticPr fontId="1"/>
  </si>
  <si>
    <t>成果物</t>
    <rPh sb="0" eb="3">
      <t>セイカブツ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</si>
  <si>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</si>
  <si>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</si>
  <si>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</si>
  <si>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</si>
  <si>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</si>
  <si>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TASK</t>
    <phoneticPr fontId="1"/>
  </si>
  <si>
    <t>$</t>
    <phoneticPr fontId="1"/>
  </si>
  <si>
    <t>@</t>
    <phoneticPr fontId="1"/>
  </si>
  <si>
    <t>ID</t>
    <phoneticPr fontId="1"/>
  </si>
  <si>
    <t>L1</t>
  </si>
  <si>
    <t>IDX</t>
    <phoneticPr fontId="1"/>
  </si>
  <si>
    <t>L4</t>
    <phoneticPr fontId="1"/>
  </si>
  <si>
    <t>L5</t>
    <phoneticPr fontId="1"/>
  </si>
  <si>
    <t>L2項目</t>
    <rPh sb="2" eb="4">
      <t>コウモク</t>
    </rPh>
    <phoneticPr fontId="1"/>
  </si>
  <si>
    <t>L3項目</t>
    <rPh sb="2" eb="4">
      <t>コウモク</t>
    </rPh>
    <phoneticPr fontId="1"/>
  </si>
  <si>
    <t>L4項目</t>
    <rPh sb="2" eb="4">
      <t>コウモク</t>
    </rPh>
    <phoneticPr fontId="1"/>
  </si>
  <si>
    <t>進捗率</t>
    <rPh sb="0" eb="2">
      <t>シンチョク</t>
    </rPh>
    <rPh sb="2" eb="3">
      <t>リツ</t>
    </rPh>
    <phoneticPr fontId="1"/>
  </si>
  <si>
    <t>加重</t>
    <rPh sb="0" eb="2">
      <t>カジュウ</t>
    </rPh>
    <phoneticPr fontId="1"/>
  </si>
  <si>
    <t>WBS-Template</t>
    <phoneticPr fontId="1"/>
  </si>
  <si>
    <t>CHK</t>
    <phoneticPr fontId="1"/>
  </si>
  <si>
    <t>OPT</t>
    <phoneticPr fontId="1"/>
  </si>
  <si>
    <t>WBS項目名</t>
    <phoneticPr fontId="1"/>
  </si>
  <si>
    <t>工数</t>
    <rPh sb="0" eb="2">
      <t>コウスウ</t>
    </rPh>
    <phoneticPr fontId="1"/>
  </si>
  <si>
    <t>項目</t>
    <rPh sb="0" eb="2">
      <t>コウモク</t>
    </rPh>
    <phoneticPr fontId="1"/>
  </si>
  <si>
    <t>消化率</t>
    <rPh sb="0" eb="3">
      <t>ショウカリツ</t>
    </rPh>
    <phoneticPr fontId="1"/>
  </si>
  <si>
    <t>組織</t>
    <rPh sb="0" eb="2">
      <t>ソシキ</t>
    </rPh>
    <phoneticPr fontId="1"/>
  </si>
  <si>
    <t>候補設定（プルダウン）</t>
    <rPh sb="0" eb="2">
      <t>コウホ</t>
    </rPh>
    <rPh sb="2" eb="4">
      <t>セッテイ</t>
    </rPh>
    <phoneticPr fontId="1"/>
  </si>
  <si>
    <t>L5項目</t>
    <rPh sb="2" eb="4">
      <t>コウモク</t>
    </rPh>
    <phoneticPr fontId="1"/>
  </si>
  <si>
    <t>組織A</t>
    <phoneticPr fontId="1"/>
  </si>
  <si>
    <t>担当1</t>
    <phoneticPr fontId="1"/>
  </si>
  <si>
    <t>担当2</t>
  </si>
  <si>
    <t>担当3</t>
  </si>
  <si>
    <t>担当4</t>
  </si>
  <si>
    <t>担当5</t>
  </si>
  <si>
    <t>担当6</t>
  </si>
  <si>
    <t>担当7</t>
  </si>
  <si>
    <t>担当8</t>
  </si>
  <si>
    <t>担当9</t>
  </si>
  <si>
    <t>https://github.com/H16K148/wbs-template-xlsm</t>
    <phoneticPr fontId="1"/>
  </si>
  <si>
    <t>組織B</t>
  </si>
  <si>
    <t>組織C</t>
  </si>
  <si>
    <t>L4タスク_4</t>
    <phoneticPr fontId="1"/>
  </si>
  <si>
    <t>L1タスク_1</t>
    <phoneticPr fontId="1"/>
  </si>
  <si>
    <t>L2タスク_1</t>
    <phoneticPr fontId="1"/>
  </si>
  <si>
    <t>L2タスク_2</t>
    <phoneticPr fontId="1"/>
  </si>
  <si>
    <t>L3タスク_1</t>
    <phoneticPr fontId="1"/>
  </si>
  <si>
    <t>L3タスク_2</t>
    <phoneticPr fontId="1"/>
  </si>
  <si>
    <t>L3タスク_3</t>
    <phoneticPr fontId="1"/>
  </si>
  <si>
    <t>L4タスク_2</t>
    <phoneticPr fontId="1"/>
  </si>
  <si>
    <t>L4タスク_1</t>
    <phoneticPr fontId="1"/>
  </si>
  <si>
    <t>L4タスク_3</t>
    <phoneticPr fontId="1"/>
  </si>
  <si>
    <t>L5タスク_1</t>
    <phoneticPr fontId="1"/>
  </si>
  <si>
    <t>L5タスク_2</t>
    <phoneticPr fontId="1"/>
  </si>
  <si>
    <t>L5タスク_3</t>
    <phoneticPr fontId="1"/>
  </si>
  <si>
    <t>L5タスク_4</t>
    <phoneticPr fontId="1"/>
  </si>
  <si>
    <t>L5タスク_5</t>
    <phoneticPr fontId="1"/>
  </si>
  <si>
    <t>L1タスク_2</t>
    <phoneticPr fontId="1"/>
  </si>
  <si>
    <t>L1項目2</t>
    <rPh sb="2" eb="4">
      <t>コウモク</t>
    </rPh>
    <phoneticPr fontId="1"/>
  </si>
  <si>
    <t>L1項目1</t>
    <rPh sb="2" eb="4">
      <t>コウモク</t>
    </rPh>
    <phoneticPr fontId="1"/>
  </si>
  <si>
    <t>L1項目3</t>
    <rPh sb="2" eb="4">
      <t>コウモク</t>
    </rPh>
    <phoneticPr fontId="1"/>
  </si>
  <si>
    <t>・</t>
    <phoneticPr fontId="1"/>
  </si>
  <si>
    <t>D-Click！</t>
    <phoneticPr fontId="1"/>
  </si>
  <si>
    <r>
      <t>合計</t>
    </r>
    <r>
      <rPr>
        <sz val="6"/>
        <rFont val="ＭＳ ゴシック"/>
        <family val="3"/>
        <charset val="128"/>
      </rPr>
      <t>人日</t>
    </r>
    <rPh sb="0" eb="2">
      <t>ゴウケイ</t>
    </rPh>
    <rPh sb="2" eb="4">
      <t>ニンニチ</t>
    </rPh>
    <phoneticPr fontId="1"/>
  </si>
  <si>
    <r>
      <t>全体</t>
    </r>
    <r>
      <rPr>
        <sz val="6"/>
        <rFont val="ＭＳ ゴシック"/>
        <family val="3"/>
        <charset val="128"/>
      </rPr>
      <t>%</t>
    </r>
    <rPh sb="0" eb="2">
      <t>ゼンタイ</t>
    </rPh>
    <phoneticPr fontId="1"/>
  </si>
  <si>
    <r>
      <t>工数</t>
    </r>
    <r>
      <rPr>
        <b/>
        <sz val="6"/>
        <color theme="1"/>
        <rFont val="游ゴシック Medium"/>
        <family val="3"/>
        <charset val="128"/>
      </rPr>
      <t>(人日)</t>
    </r>
    <rPh sb="0" eb="2">
      <t>コウスウ</t>
    </rPh>
    <rPh sb="3" eb="5">
      <t>ニンニチ</t>
    </rPh>
    <phoneticPr fontId="1"/>
  </si>
  <si>
    <r>
      <t>残工数</t>
    </r>
    <r>
      <rPr>
        <b/>
        <sz val="6"/>
        <color theme="1"/>
        <rFont val="游ゴシック Medium"/>
        <family val="3"/>
        <charset val="128"/>
      </rPr>
      <t>(人日)</t>
    </r>
    <rPh sb="0" eb="1">
      <t>ザン</t>
    </rPh>
    <rPh sb="1" eb="3">
      <t>コウスウ</t>
    </rPh>
    <rPh sb="4" eb="6">
      <t>ニンニチ</t>
    </rPh>
    <phoneticPr fontId="1"/>
  </si>
  <si>
    <r>
      <t>済工数</t>
    </r>
    <r>
      <rPr>
        <b/>
        <sz val="6"/>
        <color theme="1"/>
        <rFont val="游ゴシック Medium"/>
        <family val="3"/>
        <charset val="128"/>
      </rPr>
      <t>(人日)</t>
    </r>
    <rPh sb="0" eb="1">
      <t>ス</t>
    </rPh>
    <rPh sb="1" eb="3">
      <t>コウスウ</t>
    </rPh>
    <phoneticPr fontId="1"/>
  </si>
  <si>
    <t>合計</t>
    <rPh sb="0" eb="2">
      <t>ゴウケイ</t>
    </rPh>
    <phoneticPr fontId="1"/>
  </si>
  <si>
    <t>TASK計</t>
    <rPh sb="4" eb="5">
      <t>ケイ</t>
    </rPh>
    <phoneticPr fontId="1"/>
  </si>
  <si>
    <t>1</t>
  </si>
  <si>
    <t>1.T1</t>
  </si>
  <si>
    <t>1.T2</t>
  </si>
  <si>
    <t>2</t>
  </si>
  <si>
    <t>2.T1</t>
  </si>
  <si>
    <t>2.1</t>
  </si>
  <si>
    <t>2.1.T1</t>
  </si>
  <si>
    <t>2.1.T2</t>
  </si>
  <si>
    <t>2.1.1</t>
  </si>
  <si>
    <t>2.1.1.T1</t>
  </si>
  <si>
    <t>2.1.1.T2</t>
  </si>
  <si>
    <t>2.1.1.T3</t>
  </si>
  <si>
    <t>2.1.1.1</t>
  </si>
  <si>
    <t>2.1.1.1.T1</t>
  </si>
  <si>
    <t>2.1.1.2</t>
  </si>
  <si>
    <t>2.1.1.2.T1</t>
  </si>
  <si>
    <t>2.1.1.2.T2</t>
  </si>
  <si>
    <t>2.1.1.2.T3</t>
  </si>
  <si>
    <t>2.1.1.2.T4</t>
  </si>
  <si>
    <t>2.1.1.2.1</t>
  </si>
  <si>
    <t>2.1.1.2.1.T1</t>
  </si>
  <si>
    <t>2.1.1.2.1.T2</t>
  </si>
  <si>
    <t>2.1.1.2.1.T3</t>
  </si>
  <si>
    <t>2.1.1.2.1.T4</t>
  </si>
  <si>
    <t>2.1.1.2.1.T5</t>
  </si>
  <si>
    <t>2.1.1.2.2</t>
  </si>
  <si>
    <t>2.1.1.2.2.T1</t>
  </si>
  <si>
    <t>2.1.1.2.2.T2</t>
  </si>
  <si>
    <t>3</t>
  </si>
  <si>
    <t>3.1</t>
  </si>
  <si>
    <t>3.1.3</t>
  </si>
  <si>
    <t>3.1.3.3</t>
  </si>
  <si>
    <t>3.1.3.3.T1</t>
  </si>
  <si>
    <t>3.1.3.3.T2</t>
  </si>
  <si>
    <t>3.1.3.3.1</t>
  </si>
  <si>
    <t>3.1.3.3.1.T1</t>
  </si>
  <si>
    <t>3.1.3.4</t>
  </si>
  <si>
    <t>3.1.3.4.T1</t>
  </si>
  <si>
    <t>3.2</t>
  </si>
  <si>
    <t>3.2.1</t>
  </si>
  <si>
    <t>3.2.1.1</t>
  </si>
  <si>
    <t>3.2.1.1.1</t>
  </si>
  <si>
    <t>3.2.1.1.1.T1</t>
  </si>
  <si>
    <t>3.2.1.1.1.T2</t>
  </si>
  <si>
    <t>3.2.1.1.2</t>
  </si>
  <si>
    <t>3.2.1.1.2.T1</t>
  </si>
  <si>
    <t>3.2.1.1.2.T2</t>
  </si>
  <si>
    <t>3.2.1.1.2.T3</t>
  </si>
  <si>
    <t>001.---.---.---.---.---</t>
  </si>
  <si>
    <t>001.---.---.---.---.001</t>
  </si>
  <si>
    <t>001.---.---.---.---.002</t>
  </si>
  <si>
    <t>002.---.---.---.---.---</t>
  </si>
  <si>
    <t>002.---.---.---.---.001</t>
  </si>
  <si>
    <t>002.001.---.---.---.---</t>
  </si>
  <si>
    <t>002.001.---.---.---.001</t>
  </si>
  <si>
    <t>002.001.---.---.---.002</t>
  </si>
  <si>
    <t>002.001.001.---.---.---</t>
  </si>
  <si>
    <t>002.001.001.---.---.001</t>
  </si>
  <si>
    <t>002.001.001.---.---.002</t>
  </si>
  <si>
    <t>002.001.001.---.---.003</t>
  </si>
  <si>
    <t>002.001.001.001.---.---</t>
  </si>
  <si>
    <t>002.001.001.001.---.001</t>
  </si>
  <si>
    <t>002.001.001.002.---.---</t>
  </si>
  <si>
    <t>002.001.001.002.---.001</t>
  </si>
  <si>
    <t>002.001.001.002.---.002</t>
  </si>
  <si>
    <t>002.001.001.002.---.003</t>
  </si>
  <si>
    <t>002.001.001.002.---.004</t>
  </si>
  <si>
    <t>002.001.001.002.001.---</t>
  </si>
  <si>
    <t>002.001.001.002.001.001</t>
  </si>
  <si>
    <t>002.001.001.002.001.002</t>
  </si>
  <si>
    <t>002.001.001.002.001.003</t>
  </si>
  <si>
    <t>002.001.001.002.001.004</t>
  </si>
  <si>
    <t>002.001.001.002.001.005</t>
  </si>
  <si>
    <t>002.001.001.002.002.---</t>
  </si>
  <si>
    <t>002.001.001.002.002.001</t>
  </si>
  <si>
    <t>002.001.001.002.002.002</t>
  </si>
  <si>
    <t>003.---.---.---.---.---</t>
  </si>
  <si>
    <t>003.001.---.---.---.---</t>
  </si>
  <si>
    <t>003.001.003.---.---.---</t>
  </si>
  <si>
    <t>003.001.003.003.---.---</t>
  </si>
  <si>
    <t>003.001.003.003.---.001</t>
  </si>
  <si>
    <t>003.001.003.003.---.002</t>
  </si>
  <si>
    <t>003.001.003.003.001.---</t>
  </si>
  <si>
    <t>003.001.003.003.001.001</t>
  </si>
  <si>
    <t>003.001.003.004.---.---</t>
  </si>
  <si>
    <t>003.001.003.004.---.001</t>
  </si>
  <si>
    <t>003.002.---.---.---.---</t>
  </si>
  <si>
    <t>003.002.001.---.---.---</t>
  </si>
  <si>
    <t>003.002.001.001.---.---</t>
  </si>
  <si>
    <t>003.002.001.001.001.---</t>
  </si>
  <si>
    <t>003.002.001.001.001.001</t>
  </si>
  <si>
    <t>003.002.001.001.001.002</t>
  </si>
  <si>
    <t>003.002.001.001.002.---</t>
  </si>
  <si>
    <t>003.002.001.001.002.001</t>
  </si>
  <si>
    <t>003.002.001.001.002.002</t>
  </si>
  <si>
    <t>003.002.001.001.002.003</t>
  </si>
  <si>
    <t>-</t>
    <phoneticPr fontId="1"/>
  </si>
  <si>
    <t>全体：</t>
  </si>
  <si>
    <t>選択：</t>
  </si>
  <si>
    <t>【選択候補定義】組織：</t>
  </si>
  <si>
    <t>【選択候補定義】担当：</t>
  </si>
  <si>
    <t>【選択候補定義】カテゴリ1：</t>
  </si>
  <si>
    <t>【選択候補定義】カテゴリ2：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</si>
  <si>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</si>
  <si>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</si>
  <si>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</si>
  <si>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</si>
  <si>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</si>
  <si>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</si>
  <si>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</si>
  <si>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</si>
  <si>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</si>
  <si>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</si>
  <si>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</si>
  <si>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</si>
  <si>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</si>
  <si>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</si>
  <si>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</si>
  <si>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TASK集計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</si>
  <si>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</si>
  <si>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</si>
  <si>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</si>
  <si>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</si>
  <si>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</si>
  <si>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</si>
  <si>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</si>
  <si>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</si>
  <si>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</si>
  <si>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</si>
  <si>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</si>
  <si>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</si>
  <si>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</si>
  <si>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</si>
  <si>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</si>
  <si>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</si>
  <si>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</si>
  <si>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</si>
  <si>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カテゴリ1</t>
  </si>
  <si>
    <t>カテゴリ2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</si>
  <si>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</si>
  <si>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</si>
  <si>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</si>
  <si>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</si>
  <si>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</si>
  <si>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</si>
  <si>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</si>
  <si>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</si>
  <si>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A社,B社,C社</t>
  </si>
  <si>
    <t>佐藤一郎,鈴木二郎,高橋三郎</t>
  </si>
  <si>
    <t>A,B,C</t>
  </si>
  <si>
    <t>D,E,F</t>
  </si>
  <si>
    <t>階層1 テキスト</t>
  </si>
  <si>
    <t>階層1タスク テキスト1</t>
  </si>
  <si>
    <t>削除</t>
  </si>
  <si>
    <t>階層1タスク テキスト2</t>
  </si>
  <si>
    <t>却下</t>
  </si>
  <si>
    <t>階層1タスク テキスト3</t>
  </si>
  <si>
    <t>-</t>
  </si>
  <si>
    <t>階層2 テキスト</t>
  </si>
  <si>
    <t>階層2タスク テキスト1</t>
  </si>
  <si>
    <t>保留</t>
  </si>
  <si>
    <t>階層2タスク テキスト2</t>
  </si>
  <si>
    <t>棚上げ</t>
  </si>
  <si>
    <t>階層2タスク テキスト3</t>
  </si>
  <si>
    <t>階層3 テキスト</t>
  </si>
  <si>
    <t>階層3タスク テキスト1</t>
  </si>
  <si>
    <t>移管済</t>
  </si>
  <si>
    <t>階層3タスク テキスト2</t>
  </si>
  <si>
    <t>未着手</t>
  </si>
  <si>
    <t>階層3タスク テキスト3</t>
  </si>
  <si>
    <t>階層4 テキスト</t>
  </si>
  <si>
    <t>階層4タスク テキスト1</t>
  </si>
  <si>
    <t>階層4タスク テキスト2</t>
  </si>
  <si>
    <t>着手中</t>
  </si>
  <si>
    <t>階層4タスク テキスト3</t>
  </si>
  <si>
    <t>階層5 テキスト</t>
  </si>
  <si>
    <t>階層5タスク テキスト1</t>
  </si>
  <si>
    <t>階層5タスク テキスト2</t>
  </si>
  <si>
    <t>WBS-TEST</t>
  </si>
  <si>
    <t>https://github.com/H16K148/wbs-template-xlsm</t>
  </si>
  <si>
    <t>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</si>
</sst>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/m/d\ ddd"/>
    <numFmt numFmtId="177" formatCode="0.0%"/>
  </numFmts>
  <fonts count="3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theme="1"/>
      <name val="游ゴシック"/>
      <family val="3"/>
      <charset val="128"/>
    </font>
    <font>
      <sz val="6"/>
      <color theme="1"/>
      <name val="游ゴシック"/>
      <family val="3"/>
      <charset val="128"/>
    </font>
    <font>
      <sz val="8"/>
      <color theme="1"/>
      <name val="游ゴシック"/>
      <family val="3"/>
      <charset val="128"/>
    </font>
    <font>
      <sz val="9"/>
      <color theme="1"/>
      <name val="游ゴシック Medium"/>
      <family val="3"/>
      <charset val="128"/>
    </font>
    <font>
      <sz val="18"/>
      <color theme="1"/>
      <name val="游ゴシック Medium"/>
      <family val="3"/>
      <charset val="128"/>
    </font>
    <font>
      <sz val="7"/>
      <color theme="0" tint="-0.499984740745262"/>
      <name val="游ゴシック Medium"/>
      <family val="3"/>
      <charset val="128"/>
    </font>
    <font>
      <sz val="7"/>
      <color theme="1"/>
      <name val="游ゴシック Medium"/>
      <family val="3"/>
      <charset val="128"/>
    </font>
    <font>
      <sz val="8"/>
      <name val="游ゴシック Medium"/>
      <family val="3"/>
      <charset val="128"/>
    </font>
    <font>
      <b/>
      <sz val="9"/>
      <color theme="1"/>
      <name val="游ゴシック Medium"/>
      <family val="3"/>
      <charset val="128"/>
    </font>
    <font>
      <u/>
      <sz val="11"/>
      <color theme="10"/>
      <name val="Yu Gothic"/>
      <family val="2"/>
      <scheme val="minor"/>
    </font>
    <font>
      <u/>
      <sz val="8"/>
      <color theme="10"/>
      <name val="游ゴシック"/>
      <family val="3"/>
      <charset val="128"/>
    </font>
    <font>
      <sz val="6"/>
      <color theme="0" tint="-0.499984740745262"/>
      <name val="游ゴシック Medium"/>
      <family val="3"/>
      <charset val="128"/>
    </font>
    <font>
      <b/>
      <sz val="9"/>
      <color theme="1"/>
      <name val="游ゴシック"/>
      <family val="3"/>
      <charset val="128"/>
    </font>
    <font>
      <sz val="8"/>
      <color theme="1"/>
      <name val="ＭＳ ゴシック"/>
      <family val="3"/>
      <charset val="128"/>
    </font>
    <font>
      <sz val="6"/>
      <name val="ＭＳ ゴシック"/>
      <family val="3"/>
      <charset val="128"/>
    </font>
    <font>
      <b/>
      <sz val="8"/>
      <color theme="1"/>
      <name val="游ゴシック Medium"/>
      <family val="3"/>
      <charset val="128"/>
    </font>
    <font>
      <b/>
      <sz val="6"/>
      <color theme="1"/>
      <name val="游ゴシック Medium"/>
      <family val="3"/>
      <charset val="128"/>
    </font>
    <font>
      <b/>
      <sz val="8"/>
      <color theme="1"/>
      <name val="游ゴシック"/>
      <family val="3"/>
      <charset val="128"/>
    </font>
    <font>
      <b/>
      <sz val="7"/>
      <color rgb="FFC00000"/>
      <name val="游ゴシック Medium"/>
      <family val="3"/>
      <charset val="128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u/>
      <sz val="8"/>
      <color theme="10"/>
      <name val="Yu Gothic"/>
      <family val="2"/>
      <scheme val="minor"/>
    </font>
    <font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5">
    <xf numFmtId="0" fontId="0" fillId="0" borderId="0" xfId="0"/>
    <xf numFmtId="0" fontId="2" fillId="0" borderId="0" xfId="0" applyFont="1"/>
    <xf numFmtId="9" fontId="2" fillId="0" borderId="0" xfId="0" applyNumberFormat="1" applyFont="1"/>
    <xf numFmtId="6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76" fontId="6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horizontal="centerContinuous"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177" fontId="4" fillId="0" borderId="0" xfId="0" applyNumberFormat="1" applyFont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Continuous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10" fillId="0" borderId="3" xfId="0" applyFont="1" applyBorder="1" applyAlignment="1">
      <alignment vertical="center"/>
    </xf>
    <xf numFmtId="0" fontId="11" fillId="0" borderId="4" xfId="0" applyFont="1" applyBorder="1" applyAlignment="1">
      <alignment horizontal="centerContinuous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12" fillId="0" borderId="0" xfId="0" applyFont="1" applyAlignment="1">
      <alignment horizontal="right" vertical="center"/>
    </xf>
    <xf numFmtId="0" fontId="4" fillId="0" borderId="6" xfId="0" applyFont="1" applyBorder="1" applyAlignment="1">
      <alignment horizontal="centerContinuous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Continuous" vertic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Continuous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4" fillId="0" borderId="0" xfId="1" applyFont="1" applyAlignment="1">
      <alignment horizontal="right"/>
    </xf>
    <xf numFmtId="49" fontId="6" fillId="0" borderId="0" xfId="0" applyNumberFormat="1" applyFont="1" applyAlignment="1">
      <alignment horizontal="left" vertical="center" indent="1"/>
    </xf>
    <xf numFmtId="49" fontId="5" fillId="0" borderId="0" xfId="0" applyNumberFormat="1" applyFont="1" applyAlignment="1">
      <alignment horizontal="left" vertical="center" indent="1"/>
    </xf>
    <xf numFmtId="0" fontId="15" fillId="0" borderId="6" xfId="0" applyFont="1" applyBorder="1" applyAlignment="1">
      <alignment horizontal="centerContinuous"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left" indent="1"/>
    </xf>
    <xf numFmtId="0" fontId="12" fillId="0" borderId="5" xfId="0" applyFont="1" applyBorder="1" applyAlignment="1">
      <alignment horizontal="centerContinuous" vertical="center"/>
    </xf>
    <xf numFmtId="0" fontId="12" fillId="0" borderId="6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2" fillId="0" borderId="5" xfId="0" applyFont="1" applyBorder="1" applyAlignment="1">
      <alignment horizontal="centerContinuous" vertical="center"/>
    </xf>
    <xf numFmtId="0" fontId="12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/>
    </xf>
    <xf numFmtId="0" fontId="6" fillId="0" borderId="0" xfId="0" applyFont="1" applyAlignment="1">
      <alignment horizontal="righ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left" vertical="center" indent="1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Continuous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Continuous"/>
    </xf>
    <xf numFmtId="0" fontId="23" fillId="0" borderId="0" xfId="0" applyFont="1" applyAlignment="1">
      <alignment horizontal="centerContinuous" vertical="center"/>
    </xf>
    <xf numFmtId="0" fontId="27" fillId="0" borderId="0" xfId="0" applyFont="1" applyAlignment="1">
      <alignment horizontal="center" vertical="center"/>
    </xf>
    <xf numFmtId="0" fontId="29" fillId="0" borderId="0" xfId="1" applyFont="1" applyAlignment="1">
      <alignment horizontal="right"/>
    </xf>
    <xf numFmtId="177" fontId="23" fillId="0" borderId="0" xfId="0" applyNumberFormat="1" applyFont="1" applyAlignment="1">
      <alignment horizontal="center" vertical="center"/>
    </xf>
    <xf numFmtId="0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5" fillId="0" borderId="0" xfId="0" applyFont="1" applyAlignment="1">
      <alignment horizontal="left"/>
    </xf>
  </cellXfs>
  <cellStyles count="2">
    <cellStyle name="ハイパーリンク" xfId="1" builtinId="8"/>
    <cellStyle name="標準" xfId="0" builtinId="0"/>
  </cellStyles>
  <dxfs count="32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80" formatCode="\(0.0%\)"/>
    </dxf>
    <dxf>
      <numFmt numFmtId="177" formatCode="0.0%"/>
    </dxf>
    <dxf>
      <font>
        <b/>
        <i/>
      </font>
      <numFmt numFmtId="180" formatCode="\(0.0%\)"/>
    </dxf>
    <dxf>
      <numFmt numFmtId="181" formatCode="yyyy/mm/dd"/>
    </dxf>
    <dxf>
      <numFmt numFmtId="181" formatCode="yyyy/mm/dd"/>
    </dxf>
    <dxf>
      <numFmt numFmtId="179" formatCode="0.0"/>
    </dxf>
    <dxf>
      <numFmt numFmtId="179" formatCode="0.0"/>
    </dxf>
    <dxf>
      <numFmt numFmtId="177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80" formatCode="\(0.0%\)"/>
    </dxf>
    <dxf>
      <numFmt numFmtId="177" formatCode="0.0%"/>
    </dxf>
    <dxf>
      <font>
        <b/>
        <i/>
      </font>
      <numFmt numFmtId="180" formatCode="\(0.0%\)"/>
    </dxf>
    <dxf>
      <numFmt numFmtId="181" formatCode="yyyy/mm/dd"/>
    </dxf>
    <dxf>
      <numFmt numFmtId="181" formatCode="yyyy/mm/dd"/>
    </dxf>
    <dxf>
      <numFmt numFmtId="179" formatCode="0.0"/>
    </dxf>
    <dxf>
      <numFmt numFmtId="179" formatCode="0.0"/>
    </dxf>
    <dxf>
      <numFmt numFmtId="177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80" formatCode="\(0.0%\)"/>
    </dxf>
    <dxf>
      <numFmt numFmtId="177" formatCode="0.0%"/>
    </dxf>
    <dxf>
      <font>
        <b/>
        <i/>
      </font>
      <numFmt numFmtId="180" formatCode="\(0.0%\)"/>
    </dxf>
    <dxf>
      <numFmt numFmtId="181" formatCode="yyyy/mm/dd"/>
    </dxf>
    <dxf>
      <numFmt numFmtId="181" formatCode="yyyy/mm/dd"/>
    </dxf>
    <dxf>
      <numFmt numFmtId="179" formatCode="0.0"/>
    </dxf>
    <dxf>
      <numFmt numFmtId="179" formatCode="0.0"/>
    </dxf>
    <dxf>
      <numFmt numFmtId="177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78" formatCode="\(0.0\)"/>
    </dxf>
    <dxf>
      <numFmt numFmtId="179" formatCode="0.0"/>
    </dxf>
    <dxf>
      <font>
        <b/>
        <i/>
      </font>
      <numFmt numFmtId="180" formatCode="\(0.0%\)"/>
    </dxf>
    <dxf>
      <numFmt numFmtId="177" formatCode="0.0%"/>
    </dxf>
    <dxf>
      <font>
        <b/>
        <i/>
      </font>
      <numFmt numFmtId="180" formatCode="\(0.0%\)"/>
    </dxf>
    <dxf>
      <numFmt numFmtId="181" formatCode="yyyy/mm/dd"/>
    </dxf>
    <dxf>
      <numFmt numFmtId="181" formatCode="yyyy/mm/dd"/>
    </dxf>
    <dxf>
      <numFmt numFmtId="179" formatCode="0.0"/>
    </dxf>
    <dxf>
      <numFmt numFmtId="179" formatCode="0.0"/>
    </dxf>
    <dxf>
      <numFmt numFmtId="177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0" formatCode="\(0.0%\)"/>
    </dxf>
    <dxf>
      <font>
        <b/>
        <i val="0"/>
        <color rgb="FF002060"/>
      </font>
    </dxf>
    <dxf>
      <fill>
        <patternFill>
          <bgColor rgb="FFFFFF00"/>
        </patternFill>
      </fill>
    </dxf>
    <dxf>
      <font>
        <b/>
        <i/>
      </font>
      <numFmt numFmtId="178" formatCode="\(0.0\)"/>
    </dxf>
    <dxf>
      <fill>
        <patternFill>
          <bgColor rgb="FFFFFF00"/>
        </patternFill>
      </fill>
    </dxf>
    <dxf>
      <font>
        <b/>
        <i/>
      </font>
      <numFmt numFmtId="178" formatCode="\(0.0\)"/>
    </dxf>
    <dxf>
      <font>
        <b/>
        <i val="0"/>
        <color rgb="FF002060"/>
      </font>
    </dxf>
    <dxf>
      <font>
        <b/>
        <i val="0"/>
        <color rgb="FF002060"/>
      </font>
      <numFmt numFmtId="14" formatCode="0.00%"/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ont>
        <strike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/>
      </font>
      <numFmt numFmtId="178" formatCode="\(0.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/>
      </font>
      <numFmt numFmtId="180" formatCode="\(0.0%\)"/>
      <fill>
        <patternFill patternType="solid"/>
      </fill>
    </dxf>
    <dxf>
      <font>
        <b/>
        <i val="0"/>
        <color theme="0" tint="-0.34998626667073579"/>
      </font>
    </dxf>
    <dxf>
      <font>
        <b/>
        <i val="0"/>
        <color rgb="FF9C0006"/>
      </font>
      <fill>
        <patternFill>
          <bgColor rgb="FFFFC7CE"/>
        </patternFill>
      </fill>
    </dxf>
    <dxf>
      <border>
        <left style="dashed">
          <color auto="1"/>
        </left>
        <right style="thin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 tint="-0.499984740745262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</dxfs>
  <tableStyles count="0" defaultTableStyle="TableStyleMedium2" defaultPivotStyle="PivotStyleLight16"/>
  <colors>
    <mruColors>
      <color rgb="FFFFCCCC"/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noThreeD="1" sel="4" val="0">
  <itemLst>
    <item val="すべて再計算"/>
    <item val="オートフィルターをリセット"/>
    <item val="階層番号で全体をソート"/>
    <item val="書式・入力規則をリセット"/>
    <item val="入力フォームをリセット"/>
    <item val="エラーチェック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行を削除　※ 子階層や子タスク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行を削除　※ 子階層や子タスクがある場合は不可 ※"/>
    <item val="階層番号をソート"/>
    <item val="L2以下を非表示"/>
    <item val="L3以下を非表示"/>
    <item val="L4以下を非表示"/>
    <item val="すべてを再表示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24</xdr:col>
          <xdr:colOff>266700</xdr:colOff>
          <xdr:row>3</xdr:row>
          <xdr:rowOff>0</xdr:rowOff>
        </xdr:to>
        <xdr:sp macro="" textlink="">
          <xdr:nvSpPr>
            <xdr:cNvPr id="18434" name="Execute1ComboBox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CA91ECA8-C3DA-BD86-214E-767C19A32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2</xdr:row>
          <xdr:rowOff>0</xdr:rowOff>
        </xdr:from>
        <xdr:to>
          <xdr:col>24</xdr:col>
          <xdr:colOff>771525</xdr:colOff>
          <xdr:row>3</xdr:row>
          <xdr:rowOff>0</xdr:rowOff>
        </xdr:to>
        <xdr:sp macro="" textlink="">
          <xdr:nvSpPr>
            <xdr:cNvPr id="18435" name="Execute1Button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4F896B8B-C82A-039C-E652-27C290FCA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771525</xdr:colOff>
          <xdr:row>2</xdr:row>
          <xdr:rowOff>0</xdr:rowOff>
        </xdr:from>
        <xdr:to>
          <xdr:col>24</xdr:col>
          <xdr:colOff>1476375</xdr:colOff>
          <xdr:row>3</xdr:row>
          <xdr:rowOff>0</xdr:rowOff>
        </xdr:to>
        <xdr:sp macro="" textlink="">
          <xdr:nvSpPr>
            <xdr:cNvPr id="18436" name="Reset1Button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C263D8CC-087C-D3F5-8B4C-01D1862E1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24</xdr:col>
          <xdr:colOff>3438525</xdr:colOff>
          <xdr:row>4</xdr:row>
          <xdr:rowOff>0</xdr:rowOff>
        </xdr:to>
        <xdr:sp macro="" textlink="">
          <xdr:nvSpPr>
            <xdr:cNvPr id="18437" name="Execute2ComboBox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1B472A6B-B82E-0545-F1D2-EF75107E4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3438525</xdr:colOff>
          <xdr:row>3</xdr:row>
          <xdr:rowOff>0</xdr:rowOff>
        </xdr:from>
        <xdr:to>
          <xdr:col>24</xdr:col>
          <xdr:colOff>3952875</xdr:colOff>
          <xdr:row>4</xdr:row>
          <xdr:rowOff>0</xdr:rowOff>
        </xdr:to>
        <xdr:sp macro="" textlink="">
          <xdr:nvSpPr>
            <xdr:cNvPr id="18438" name="Execute2Butt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4C83D38B-F022-D418-DB83-DC66F805B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3952875</xdr:colOff>
          <xdr:row>3</xdr:row>
          <xdr:rowOff>0</xdr:rowOff>
        </xdr:from>
        <xdr:to>
          <xdr:col>25</xdr:col>
          <xdr:colOff>28575</xdr:colOff>
          <xdr:row>4</xdr:row>
          <xdr:rowOff>0</xdr:rowOff>
        </xdr:to>
        <xdr:sp macro="" textlink="">
          <xdr:nvSpPr>
            <xdr:cNvPr id="18439" name="Reset2Button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FA165283-CCA4-8729-83C6-C1F2A5F2D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18</xdr:col>
          <xdr:colOff>3457575</xdr:colOff>
          <xdr:row>3</xdr:row>
          <xdr:rowOff>0</xdr:rowOff>
        </xdr:to>
        <xdr:sp macro="" textlink="">
          <xdr:nvSpPr>
            <xdr:cNvPr id="7909" name="ExecuteComboBox_1" hidden="1">
              <a:extLst>
                <a:ext uri="{63B3BB69-23CF-44E3-9099-C40C66FF867C}">
                  <a14:compatExt spid="_x0000_s7909"/>
                </a:ext>
                <a:ext uri="{FF2B5EF4-FFF2-40B4-BE49-F238E27FC236}">
                  <a16:creationId xmlns:a16="http://schemas.microsoft.com/office/drawing/2014/main" id="{00000000-0008-0000-0100-0000E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910" name="ExecuteButton_1" hidden="1">
              <a:extLst>
                <a:ext uri="{63B3BB69-23CF-44E3-9099-C40C66FF867C}">
                  <a14:compatExt spid="_x0000_s7910"/>
                </a:ext>
                <a:ext uri="{FF2B5EF4-FFF2-40B4-BE49-F238E27FC236}">
                  <a16:creationId xmlns:a16="http://schemas.microsoft.com/office/drawing/2014/main" id="{00000000-0008-0000-0100-0000E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3457575</xdr:colOff>
          <xdr:row>2</xdr:row>
          <xdr:rowOff>0</xdr:rowOff>
        </xdr:from>
        <xdr:to>
          <xdr:col>18</xdr:col>
          <xdr:colOff>4152900</xdr:colOff>
          <xdr:row>3</xdr:row>
          <xdr:rowOff>0</xdr:rowOff>
        </xdr:to>
        <xdr:sp macro="" textlink="">
          <xdr:nvSpPr>
            <xdr:cNvPr id="7911" name="ResetButton_1" hidden="1">
              <a:extLst>
                <a:ext uri="{63B3BB69-23CF-44E3-9099-C40C66FF867C}">
                  <a14:compatExt spid="_x0000_s7911"/>
                </a:ext>
                <a:ext uri="{FF2B5EF4-FFF2-40B4-BE49-F238E27FC236}">
                  <a16:creationId xmlns:a16="http://schemas.microsoft.com/office/drawing/2014/main" id="{00000000-0008-0000-0100-0000E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4152900</xdr:colOff>
          <xdr:row>2</xdr:row>
          <xdr:rowOff>0</xdr:rowOff>
        </xdr:from>
        <xdr:to>
          <xdr:col>19</xdr:col>
          <xdr:colOff>238125</xdr:colOff>
          <xdr:row>3</xdr:row>
          <xdr:rowOff>0</xdr:rowOff>
        </xdr:to>
        <xdr:sp macro="" textlink="">
          <xdr:nvSpPr>
            <xdr:cNvPr id="7912" name="RecalculateButton_1" hidden="1">
              <a:extLst>
                <a:ext uri="{63B3BB69-23CF-44E3-9099-C40C66FF867C}">
                  <a14:compatExt spid="_x0000_s7912"/>
                </a:ext>
                <a:ext uri="{FF2B5EF4-FFF2-40B4-BE49-F238E27FC236}">
                  <a16:creationId xmlns:a16="http://schemas.microsoft.com/office/drawing/2014/main" id="{00000000-0008-0000-0100-0000E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再計算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84C8A-74E5-4243-ADFB-B62E82966E65}">
  <sheetPr codeName="Sheet5"/>
  <dimension ref="A1:AR220"/>
  <sheetViews>
    <sheetView tabSelected="1" workbookViewId="0">
      <pane xSplit="31" ySplit="7" topLeftCell="AF8" activePane="bottomRight" state="frozen"/>
      <selection pane="topRight" activeCell="AF1" sqref="AF1"/>
      <selection pane="bottomLeft" activeCell="A8" sqref="A8"/>
      <selection pane="bottomRight" activeCell="Y11" sqref="Y11"/>
    </sheetView>
  </sheetViews>
  <sheetFormatPr defaultRowHeight="18" customHeight="1"/>
  <cols>
    <col min="1" max="1" width="0.125" style="60" customWidth="1"/>
    <col min="2" max="10" width="3.625" style="60" customWidth="1"/>
    <col min="11" max="17" width="3.625" style="60" hidden="1" customWidth="1"/>
    <col min="18" max="18" width="3.625" style="60" customWidth="1"/>
    <col min="19" max="24" width="2.125" style="60" customWidth="1"/>
    <col min="25" max="25" width="60.625" style="60" customWidth="1"/>
    <col min="26" max="27" width="5.625" style="60" customWidth="1"/>
    <col min="28" max="28" width="8.625" style="60" customWidth="1"/>
    <col min="29" max="30" width="8.125" style="60" customWidth="1"/>
    <col min="31" max="31" width="5.625" style="60" customWidth="1"/>
    <col min="32" max="34" width="12.625" style="60" customWidth="1"/>
    <col min="35" max="35" width="8.625" style="60" customWidth="1"/>
    <col min="36" max="37" width="10.625" style="60" customWidth="1"/>
    <col min="38" max="39" width="8.625" style="60" customWidth="1"/>
    <col min="40" max="41" width="10.625" style="60" customWidth="1"/>
    <col min="42" max="43" width="12.625" style="60" customWidth="1"/>
    <col min="44" max="44" width="50.625" style="60" customWidth="1"/>
    <col min="45" max="16384" width="9" style="60"/>
  </cols>
  <sheetData>
    <row r="1" spans="1:44" ht="3.75" customHeight="1"/>
    <row r="2" spans="1:44" ht="30" customHeight="1">
      <c r="B2" s="61" t="s">
        <v>255</v>
      </c>
      <c r="AR2" s="70" t="s">
        <v>256</v>
      </c>
    </row>
    <row r="3" spans="1:44" ht="18" customHeight="1">
      <c r="D3" s="62" t="s">
        <v>174</v>
      </c>
      <c r="AB3" s="62" t="s">
        <v>176</v>
      </c>
      <c r="AC3" s="60" t="s">
        <v>224</v>
      </c>
      <c r="AP3" s="62" t="s">
        <v>178</v>
      </c>
      <c r="AQ3" s="60" t="s">
        <v>226</v>
      </c>
    </row>
    <row r="4" spans="1:44" ht="18" customHeight="1">
      <c r="D4" s="62" t="s">
        <v>175</v>
      </c>
      <c r="AB4" s="62" t="s">
        <v>177</v>
      </c>
      <c r="AC4" s="60" t="s">
        <v>225</v>
      </c>
      <c r="AP4" s="62" t="s">
        <v>179</v>
      </c>
      <c r="AQ4" s="60" t="s">
        <v>227</v>
      </c>
    </row>
    <row r="5" spans="1:44" ht="18" customHeight="1">
      <c r="C5" s="66" t="s">
        <v>180</v>
      </c>
      <c r="D5" s="66" t="s">
        <v>181</v>
      </c>
      <c r="E5" s="66" t="s">
        <v>17</v>
      </c>
      <c r="F5" s="66" t="s">
        <v>182</v>
      </c>
      <c r="G5" s="66" t="s">
        <v>183</v>
      </c>
      <c r="H5" s="66" t="s">
        <v>184</v>
      </c>
      <c r="I5" s="66" t="s">
        <v>185</v>
      </c>
      <c r="J5" s="66" t="s">
        <v>186</v>
      </c>
      <c r="K5" s="66" t="s">
        <v>187</v>
      </c>
      <c r="L5" s="66" t="s">
        <v>188</v>
      </c>
      <c r="M5" s="66" t="s">
        <v>189</v>
      </c>
      <c r="N5" s="66" t="s">
        <v>190</v>
      </c>
      <c r="O5" s="66" t="s">
        <v>191</v>
      </c>
      <c r="P5" s="66" t="s">
        <v>192</v>
      </c>
      <c r="Q5" s="66" t="s">
        <v>193</v>
      </c>
      <c r="R5" s="66" t="s">
        <v>194</v>
      </c>
      <c r="S5" s="66" t="s">
        <v>17</v>
      </c>
      <c r="T5" s="66" t="s">
        <v>182</v>
      </c>
      <c r="U5" s="66" t="s">
        <v>183</v>
      </c>
      <c r="V5" s="66" t="s">
        <v>184</v>
      </c>
      <c r="W5" s="66" t="s">
        <v>185</v>
      </c>
      <c r="X5" s="74" t="s">
        <v>186</v>
      </c>
      <c r="Y5" s="66"/>
      <c r="Z5" s="67" t="s">
        <v>195</v>
      </c>
      <c r="AA5" s="67"/>
      <c r="AB5" s="64"/>
      <c r="AC5" s="64" t="s">
        <v>196</v>
      </c>
      <c r="AD5" s="65" t="s">
        <v>197</v>
      </c>
      <c r="AE5" s="65"/>
      <c r="AF5" s="64"/>
      <c r="AG5" s="64"/>
      <c r="AH5" s="64"/>
      <c r="AI5" s="65" t="s">
        <v>198</v>
      </c>
      <c r="AJ5" s="65"/>
      <c r="AK5" s="65"/>
      <c r="AL5" s="65" t="s">
        <v>199</v>
      </c>
      <c r="AM5" s="65"/>
      <c r="AN5" s="65"/>
      <c r="AO5" s="65"/>
      <c r="AP5" s="64"/>
      <c r="AQ5" s="64"/>
      <c r="AR5" s="64"/>
    </row>
    <row r="6" spans="1:44" ht="18" customHeight="1">
      <c r="C6" s="68" t="s">
        <v>200</v>
      </c>
      <c r="D6" s="68"/>
      <c r="E6" s="68" t="s">
        <v>201</v>
      </c>
      <c r="F6" s="68"/>
      <c r="G6" s="68"/>
      <c r="H6" s="68"/>
      <c r="I6" s="68"/>
      <c r="J6" s="68"/>
      <c r="K6" s="63"/>
      <c r="L6" s="63"/>
      <c r="M6" s="63"/>
      <c r="N6" s="63"/>
      <c r="O6" s="63"/>
      <c r="P6" s="63"/>
      <c r="Q6" s="63"/>
      <c r="R6" s="68" t="s">
        <v>202</v>
      </c>
      <c r="S6" s="68"/>
      <c r="T6" s="68"/>
      <c r="U6" s="68"/>
      <c r="V6" s="68"/>
      <c r="W6" s="68"/>
      <c r="X6" s="68"/>
      <c r="Y6" s="68"/>
      <c r="Z6" s="63" t="s">
        <v>203</v>
      </c>
      <c r="AA6" s="63" t="s">
        <v>204</v>
      </c>
      <c r="AB6" s="63" t="s">
        <v>205</v>
      </c>
      <c r="AC6" s="63" t="s">
        <v>206</v>
      </c>
      <c r="AD6" s="63" t="s">
        <v>207</v>
      </c>
      <c r="AE6" s="63" t="s">
        <v>208</v>
      </c>
      <c r="AF6" s="63" t="s">
        <v>209</v>
      </c>
      <c r="AG6" s="63" t="s">
        <v>210</v>
      </c>
      <c r="AH6" s="63" t="s">
        <v>211</v>
      </c>
      <c r="AI6" s="63" t="s">
        <v>217</v>
      </c>
      <c r="AJ6" s="63" t="s">
        <v>212</v>
      </c>
      <c r="AK6" s="63" t="s">
        <v>213</v>
      </c>
      <c r="AL6" s="63" t="s">
        <v>218</v>
      </c>
      <c r="AM6" s="63" t="s">
        <v>219</v>
      </c>
      <c r="AN6" s="63" t="s">
        <v>212</v>
      </c>
      <c r="AO6" s="63" t="s">
        <v>213</v>
      </c>
      <c r="AP6" s="63" t="s">
        <v>214</v>
      </c>
      <c r="AQ6" s="63" t="s">
        <v>215</v>
      </c>
      <c r="AR6" s="63" t="s">
        <v>216</v>
      </c>
    </row>
    <row r="7" spans="1:44" ht="18" customHeight="1">
      <c r="A7" s="60" t="s">
        <v>220</v>
      </c>
    </row>
    <row r="8" spans="1:44" ht="18" customHeight="1">
      <c r="B8" s="63"/>
      <c r="C8" s="63" t="s">
        <v>257</v>
      </c>
      <c r="D8" s="63" t="s">
        <v>257</v>
      </c>
      <c r="E8" s="63">
        <v>1</v>
      </c>
      <c r="F8" s="63"/>
      <c r="G8" s="63"/>
      <c r="H8" s="63"/>
      <c r="I8" s="63"/>
      <c r="J8" s="63"/>
      <c r="K8" s="72" t="str">
        <f t="shared" ref="K8:K71" si="0">IF(B8="E","ERROR",IF(E8="","XXX.XXX.XXX.XXX.XXX.XXX", _xlfn.CONCAT(TEXT(E8,"000"),IF(F8="",".---", "." &amp; TEXT(F8,"000")),IF(G8="",".---", "." &amp; TEXT(G8,"000")),IF(H8="",".---", "." &amp; TEXT(H8,"000")),IF(I8="",".---", "." &amp; TEXT(I8,"000")),IF(J8="",".---", "." &amp; TEXT(J8,"000")))))</f>
        <v>001.---.---.---.---.---</v>
      </c>
      <c r="L8" s="72">
        <f t="shared" ref="L8:L71" si="1">COUNTIF(K$8:K$218,K8)</f>
        <v>1</v>
      </c>
      <c r="M8" s="72">
        <f t="shared" ref="M8:M71" si="2">IF(AND(ISNUMBER(E8),F8="",G8="",H8="",I8=""),1,IF(AND(ISNUMBER(E8),ISNUMBER(F8),G8="",H8="",I8=""),2,IF(AND(ISNUMBER(E8),ISNUMBER(F8),ISNUMBER(G8),H8="",I8=""),3,IF(AND(ISNUMBER(E8),ISNUMBER(F8),ISNUMBER(G8),ISNUMBER(H8),I8=""),4,IF(AND(ISNUMBER(E8),ISNUMBER(F8),ISNUMBER(G8),ISNUMBER(H8),ISNUMBER(I8)),5,0)))))</f>
        <v>1</v>
      </c>
      <c r="N8" s="72" t="b">
        <f t="shared" ref="N8:N71" si="3">IF(AND(J8&lt;&gt;"",ISNUMBER(J8)),TRUE,FALSE)</f>
        <v>0</v>
      </c>
      <c r="O8" s="72" t="b">
        <f t="shared" ref="O8:O71" si="4">NOT(OR(AB8="削除",AB8="移管済",AB8="棚上げ",AB8="却下"))</f>
        <v>1</v>
      </c>
      <c r="P8" s="72" t="b">
        <f t="shared" ref="P8:P71" si="5">AND(M8&gt;0,R8&lt;&gt;"",IFERROR(ISNUMBER(MATCH(IFERROR(LEFT(R8,FIND("~",SUBSTITUTE(R8,".","~",LEN(R8)-LEN(SUBSTITUTE(R8,".",""))))-1),R8),R$8:R$218,0)),FALSE))</f>
        <v>1</v>
      </c>
      <c r="Q8" s="72" t="b">
        <f t="shared" ref="Q8:Q71" si="6">AND(M8&gt;0,N8=FALSE,R8&lt;&gt;"",IFERROR(SUMPRODUCT(--(LEFT(R$8:R$218,LEN(R8&amp;"."))=R8&amp;"."))&gt;0,FALSE))</f>
        <v>1</v>
      </c>
      <c r="R8" s="72" t="str">
        <f t="shared" ref="R8:R71" si="7">IF(B8="E","ERROR",IF(E8="","",_xlfn.CONCAT(E8,IF(F8="","","."&amp;F8 ), IF(G8="","","."&amp;G8 ), IF(H8="","","."&amp;H8 ), IF(I8="","","."&amp;I8 ), IF(J8="","",".T"&amp;J8 ))))</f>
        <v>1</v>
      </c>
      <c r="S8" s="60" t="s">
        <v>228</v>
      </c>
      <c r="Z8" s="63">
        <f>SUM(_xlfn._xlws.FILTER(Z8:Z218,(E8:E218=E8)*(ISNUMBER(F8:F218))*(G8:G218="")*(H8:H218="")*(I8:I218="")*(N8:N218=FALSE)*(O8:O218=TRUE),0))+SUM(_xlfn._xlws.FILTER(Z8:Z218,(E8:E218=E8)*(F8:F218="")*(G8:G218="")*(H8:H218="")*(I8:I218="")*(N8:N218=TRUE)*(O8:O218=TRUE),0))</f>
        <v>85</v>
      </c>
      <c r="AA8" s="63">
        <f>SUM(_xlfn._xlws.FILTER(AA8:AA218,(E8:E218=E8)*(ISNUMBER(F8:F218))*(G8:G218="")*(H8:H218="")*(I8:I218="")*(N8:N218=FALSE)*(O8:O218=TRUE),0))+SUM(_xlfn._xlws.FILTER(AA8:AA218,(E8:E218=E8)*(F8:F218="")*(G8:G218="")*(H8:H218="")*(I8:I218="")*(N8:N218=TRUE)*(O8:O218=TRUE),0))</f>
        <v>8</v>
      </c>
      <c r="AB8" s="63" t="s">
        <v>234</v>
      </c>
      <c r="AC8" s="63">
        <f>(SUM(_xlfn._xlws.FILTER(AC8:AC218,(E8:E218=E8)*(ISNUMBER(F8:F218))*(G8:G218="")*(H8:H218="")*(I8:I218="")*(N8:N218=FALSE)*(O8:O218=TRUE),0))+SUM(_xlfn._xlws.FILTER(AC8:AC218,(E8:E218=E8)*(F8:F218="")*(G8:G218="")*(H8:H218="")*(I8:I218="")*(N8:N218=TRUE)*(O8:O218=TRUE),0)))/IF(IFERROR(COUNT(_xlfn._xlws.FILTER(AC8:AC218,(E8:E218=E8)*(ISNUMBER(F8:F218))*(G8:G218="")*(H8:H218="")*(I8:I218="")*(N8:N218=FALSE)*(O8:O218=TRUE))),0)+IFERROR(COUNT(_xlfn._xlws.FILTER(AC8:AC218,(E8:E218=E8)*(F8:F218="")*(G8:G218="")*(H8:H218="")*(I8:I218="")*(N8:N218=TRUE)*(O8:O218=TRUE))),0)=0,1,IFERROR(COUNT(_xlfn._xlws.FILTER(AC8:AC218,(E8:E218=E8)*(ISNUMBER(F8:F218))*(G8:G218="")*(H8:H218="")*(I8:I218="")*(N8:N218=FALSE)*(O8:O218=TRUE))),0)+IFERROR(COUNT(_xlfn._xlws.FILTER(AC8:AC218,(E8:E218=E8)*(F8:F218="")*(G8:G218="")*(H8:H218="")*(I8:I218="")*(N8:N218=TRUE)*(O8:O218=TRUE))),0))</f>
        <v>0</v>
      </c>
      <c r="AD8" s="71">
        <f>(SUM(_xlfn._xlws.FILTER(AD8:AD218*(AE8:AE218),(E8:E218=E8)*(ISNUMBER(F8:F218))*(G8:G218="")*(H8:H218="")*(I8:I218="")*(N8:N218=FALSE)*(O8:O218=TRUE),0))+SUM(_xlfn._xlws.FILTER(AD8:AD218*(AE8:AE218),(E8:E218=E8)*(F8:F218="")*(G8:G218="")*(H8:H218="")*(I8:I218="")*(N8:N218=TRUE)*(O8:O218=TRUE),0)))/IF(SUM(_xlfn._xlws.FILTER(AE8:AE218,(E8:E218=E8)*(ISNUMBER(F8:F218))*(G8:G218="")*(H8:H218="")*(I8:I218="")*(N8:N218=FALSE)*(O8:O218=TRUE),0))+SUM(_xlfn._xlws.FILTER(AE8:AE218,(E8:E218=E8)*(F8:F218="")*(G8:G218="")*(H8:H218="")*(I8:I218="")*(N8:N218=TRUE)*(O8:O218=TRUE),0))=0,1,SUM(_xlfn._xlws.FILTER(AE8:AE218,(E8:E218=E8)*(ISNUMBER(F8:F218))*(G8:G218="")*(H8:H218="")*(I8:I218="")*(N8:N218=FALSE)*(O8:O218=TRUE),0))+SUM(_xlfn._xlws.FILTER(AE8:AE218,(E8:E218=E8)*(F8:F218="")*(G8:G218="")*(H8:H218="")*(I8:I218="")*(N8:N218=TRUE)*(O8:O218=TRUE),0)))</f>
        <v>6.6666666666666666E-2</v>
      </c>
      <c r="AE8" s="63">
        <v>1</v>
      </c>
      <c r="AF8" s="63" t="s">
        <v>234</v>
      </c>
      <c r="AG8" s="63" t="s">
        <v>234</v>
      </c>
      <c r="AH8" s="73"/>
      <c r="AI8" s="63">
        <f>SUM(_xlfn._xlws.FILTER(AI8:AI218,(E8:E218=E8)*(ISNUMBER(F8:F218))*(G8:G218="")*(H8:H218="")*(I8:I218="")*(N8:N218=FALSE)*(O8:O218=TRUE),0))+SUM(_xlfn._xlws.FILTER(AI8:AI218,(E8:E218=E8)*(F8:F218="")*(G8:G218="")*(H8:H218="")*(I8:I218="")*(N8:N218=TRUE)*(O8:O218=TRUE),0))</f>
        <v>0</v>
      </c>
      <c r="AJ8" s="63"/>
      <c r="AK8" s="63"/>
      <c r="AL8" s="63">
        <f>SUM(_xlfn._xlws.FILTER(AL8:AL218,(E8:E218=E8)*(ISNUMBER(F8:F218))*(G8:G218="")*(H8:H218="")*(I8:I218="")*(N8:N218=FALSE)*(O8:O218=TRUE),0))+SUM(_xlfn._xlws.FILTER(AL8:AL218,(E8:E218=E8)*(F8:F218="")*(G8:G218="")*(H8:H218="")*(I8:I218="")*(N8:N218=TRUE)*(O8:O218=TRUE),0))</f>
        <v>0</v>
      </c>
      <c r="AM8" s="63">
        <f>SUM(_xlfn._xlws.FILTER(AM8:AM218,(E8:E218=E8)*(ISNUMBER(F8:F218))*(G8:G218="")*(H8:H218="")*(I8:I218="")*(N8:N218=FALSE)*(O8:O218=TRUE),0))+SUM(_xlfn._xlws.FILTER(AM8:AM218,(E8:E218=E8)*(F8:F218="")*(G8:G218="")*(H8:H218="")*(I8:I218="")*(N8:N218=TRUE)*(O8:O218=TRUE),0))</f>
        <v>0</v>
      </c>
      <c r="AN8" s="63"/>
      <c r="AO8" s="63"/>
      <c r="AP8" s="63" t="s">
        <v>234</v>
      </c>
      <c r="AQ8" s="63" t="s">
        <v>234</v>
      </c>
    </row>
    <row r="9" spans="1:44" ht="18" customHeight="1">
      <c r="B9" s="63"/>
      <c r="C9" s="63" t="s">
        <v>257</v>
      </c>
      <c r="D9" s="63" t="s">
        <v>257</v>
      </c>
      <c r="E9" s="63">
        <v>1</v>
      </c>
      <c r="F9" s="63"/>
      <c r="G9" s="63"/>
      <c r="H9" s="63"/>
      <c r="I9" s="63"/>
      <c r="J9" s="63">
        <v>1</v>
      </c>
      <c r="K9" s="72" t="str">
        <f t="shared" si="0"/>
        <v>001.---.---.---.---.001</v>
      </c>
      <c r="L9" s="72">
        <f t="shared" si="1"/>
        <v>1</v>
      </c>
      <c r="M9" s="72">
        <f t="shared" si="2"/>
        <v>1</v>
      </c>
      <c r="N9" s="72" t="b">
        <f t="shared" si="3"/>
        <v>1</v>
      </c>
      <c r="O9" s="72" t="b">
        <f t="shared" si="4"/>
        <v>0</v>
      </c>
      <c r="P9" s="72" t="b">
        <f t="shared" si="5"/>
        <v>1</v>
      </c>
      <c r="Q9" s="72" t="b">
        <f t="shared" si="6"/>
        <v>0</v>
      </c>
      <c r="R9" s="72" t="str">
        <f t="shared" si="7"/>
        <v>1.T1</v>
      </c>
      <c r="X9" s="60" t="s">
        <v>229</v>
      </c>
      <c r="Z9" s="63">
        <v>1</v>
      </c>
      <c r="AA9" s="63">
        <f>IF(AB9="完了",1,0)</f>
        <v>0</v>
      </c>
      <c r="AB9" s="63" t="s">
        <v>230</v>
      </c>
      <c r="AC9" s="63">
        <f>AM9/IF(AL9+AM9=0,1,AL9+AM9)</f>
        <v>0</v>
      </c>
      <c r="AD9" s="71"/>
      <c r="AE9" s="63">
        <v>1</v>
      </c>
      <c r="AF9" s="63" t="s">
        <v>234</v>
      </c>
      <c r="AG9" s="63" t="s">
        <v>234</v>
      </c>
      <c r="AH9" s="73"/>
      <c r="AI9" s="63"/>
      <c r="AJ9" s="63"/>
      <c r="AK9" s="63"/>
      <c r="AL9" s="63"/>
      <c r="AM9" s="63"/>
      <c r="AN9" s="63"/>
      <c r="AO9" s="63"/>
      <c r="AP9" s="63" t="s">
        <v>234</v>
      </c>
      <c r="AQ9" s="63" t="s">
        <v>234</v>
      </c>
    </row>
    <row r="10" spans="1:44" ht="18" customHeight="1">
      <c r="B10" s="63"/>
      <c r="C10" s="63" t="s">
        <v>257</v>
      </c>
      <c r="D10" s="63" t="s">
        <v>257</v>
      </c>
      <c r="E10" s="63">
        <v>1</v>
      </c>
      <c r="F10" s="63"/>
      <c r="G10" s="63"/>
      <c r="H10" s="63"/>
      <c r="I10" s="63"/>
      <c r="J10" s="63">
        <v>2</v>
      </c>
      <c r="K10" s="72" t="str">
        <f t="shared" si="0"/>
        <v>001.---.---.---.---.002</v>
      </c>
      <c r="L10" s="72">
        <f t="shared" si="1"/>
        <v>1</v>
      </c>
      <c r="M10" s="72">
        <f t="shared" si="2"/>
        <v>1</v>
      </c>
      <c r="N10" s="72" t="b">
        <f t="shared" si="3"/>
        <v>1</v>
      </c>
      <c r="O10" s="72" t="b">
        <f t="shared" si="4"/>
        <v>0</v>
      </c>
      <c r="P10" s="72" t="b">
        <f t="shared" si="5"/>
        <v>1</v>
      </c>
      <c r="Q10" s="72" t="b">
        <f t="shared" si="6"/>
        <v>0</v>
      </c>
      <c r="R10" s="72" t="str">
        <f t="shared" si="7"/>
        <v>1.T2</v>
      </c>
      <c r="X10" s="60" t="s">
        <v>231</v>
      </c>
      <c r="Z10" s="63">
        <v>1</v>
      </c>
      <c r="AA10" s="63">
        <f>IF(AB10="完了",1,0)</f>
        <v>0</v>
      </c>
      <c r="AB10" s="63" t="s">
        <v>232</v>
      </c>
      <c r="AC10" s="63">
        <f>AM10/IF(AL10+AM10=0,1,AL10+AM10)</f>
        <v>0</v>
      </c>
      <c r="AD10" s="71"/>
      <c r="AE10" s="63">
        <v>1</v>
      </c>
      <c r="AF10" s="63" t="s">
        <v>234</v>
      </c>
      <c r="AG10" s="63" t="s">
        <v>234</v>
      </c>
      <c r="AH10" s="73"/>
      <c r="AI10" s="63"/>
      <c r="AJ10" s="63"/>
      <c r="AK10" s="63"/>
      <c r="AL10" s="63"/>
      <c r="AM10" s="63"/>
      <c r="AN10" s="63"/>
      <c r="AO10" s="63"/>
      <c r="AP10" s="63" t="s">
        <v>234</v>
      </c>
      <c r="AQ10" s="63" t="s">
        <v>234</v>
      </c>
    </row>
    <row r="11" spans="1:44" ht="18" customHeight="1">
      <c r="B11" s="63"/>
      <c r="C11" s="63" t="s">
        <v>257</v>
      </c>
      <c r="D11" s="63" t="s">
        <v>257</v>
      </c>
      <c r="E11" s="63">
        <v>1</v>
      </c>
      <c r="F11" s="63"/>
      <c r="G11" s="63"/>
      <c r="H11" s="63"/>
      <c r="I11" s="63"/>
      <c r="J11" s="63">
        <v>3</v>
      </c>
      <c r="K11" s="72" t="str">
        <f t="shared" si="0"/>
        <v>001.---.---.---.---.003</v>
      </c>
      <c r="L11" s="72">
        <f t="shared" si="1"/>
        <v>1</v>
      </c>
      <c r="M11" s="72">
        <f t="shared" si="2"/>
        <v>1</v>
      </c>
      <c r="N11" s="72" t="b">
        <f t="shared" si="3"/>
        <v>1</v>
      </c>
      <c r="O11" s="72" t="b">
        <f t="shared" si="4"/>
        <v>1</v>
      </c>
      <c r="P11" s="72" t="b">
        <f t="shared" si="5"/>
        <v>1</v>
      </c>
      <c r="Q11" s="72" t="b">
        <f t="shared" si="6"/>
        <v>0</v>
      </c>
      <c r="R11" s="72" t="str">
        <f t="shared" si="7"/>
        <v>1.T3</v>
      </c>
      <c r="X11" s="60" t="s">
        <v>233</v>
      </c>
      <c r="Z11" s="63">
        <v>1</v>
      </c>
      <c r="AA11" s="63">
        <f>IF(AB11="完了",1,0)</f>
        <v>0</v>
      </c>
      <c r="AB11" s="63" t="s">
        <v>234</v>
      </c>
      <c r="AC11" s="63">
        <f>AM11/IF(AL11+AM11=0,1,AL11+AM11)</f>
        <v>0</v>
      </c>
      <c r="AD11" s="71">
        <v>0.2</v>
      </c>
      <c r="AE11" s="63">
        <v>1</v>
      </c>
      <c r="AF11" s="63" t="s">
        <v>234</v>
      </c>
      <c r="AG11" s="63" t="s">
        <v>234</v>
      </c>
      <c r="AH11" s="73"/>
      <c r="AI11" s="63"/>
      <c r="AJ11" s="63"/>
      <c r="AK11" s="63"/>
      <c r="AL11" s="63"/>
      <c r="AM11" s="63"/>
      <c r="AN11" s="63"/>
      <c r="AO11" s="63"/>
      <c r="AP11" s="63" t="s">
        <v>234</v>
      </c>
      <c r="AQ11" s="63" t="s">
        <v>234</v>
      </c>
    </row>
    <row r="12" spans="1:44" ht="18" customHeight="1">
      <c r="B12" s="63"/>
      <c r="C12" s="63" t="s">
        <v>257</v>
      </c>
      <c r="D12" s="63" t="s">
        <v>257</v>
      </c>
      <c r="E12" s="63">
        <v>1</v>
      </c>
      <c r="F12" s="63">
        <v>1</v>
      </c>
      <c r="G12" s="63"/>
      <c r="H12" s="63"/>
      <c r="I12" s="63"/>
      <c r="J12" s="63"/>
      <c r="K12" s="72" t="str">
        <f t="shared" si="0"/>
        <v>001.001.---.---.---.---</v>
      </c>
      <c r="L12" s="72">
        <f t="shared" si="1"/>
        <v>1</v>
      </c>
      <c r="M12" s="72">
        <f t="shared" si="2"/>
        <v>2</v>
      </c>
      <c r="N12" s="72" t="b">
        <f t="shared" si="3"/>
        <v>0</v>
      </c>
      <c r="O12" s="72" t="b">
        <f t="shared" si="4"/>
        <v>1</v>
      </c>
      <c r="P12" s="72" t="b">
        <f t="shared" si="5"/>
        <v>1</v>
      </c>
      <c r="Q12" s="72" t="b">
        <f t="shared" si="6"/>
        <v>1</v>
      </c>
      <c r="R12" s="72" t="str">
        <f t="shared" si="7"/>
        <v>1.1</v>
      </c>
      <c r="T12" s="60" t="s">
        <v>235</v>
      </c>
      <c r="Z12" s="63">
        <f>SUM(_xlfn._xlws.FILTER(Z8:Z218,(E8:E218=E12)*(F8:F218=F12)*(ISNUMBER(G8:G218))*(H8:H218="")*(I8:I218="")*(N8:N218=FALSE)*(O8:O218=TRUE),0))+SUM(_xlfn._xlws.FILTER(Z8:Z218,(E8:E218=E12)*(F8:F218=F12)*(G8:G218="")*(H8:H218="")*(I8:I218="")*(N8:N218=TRUE)*(O8:O218=TRUE),0))</f>
        <v>42</v>
      </c>
      <c r="AA12" s="63">
        <f>SUM(_xlfn._xlws.FILTER(AA8:AA218,(E8:E218=E12)*(F8:F218=F12)*(ISNUMBER(G8:G218))*(H8:H218="")*(I8:I218="")*(N8:N218=FALSE)*(O8:O218=TRUE),0))+SUM(_xlfn._xlws.FILTER(AA8:AA218,(E8:E218=E12)*(F8:F218=F12)*(G8:G218="")*(H8:H218="")*(I8:I218="")*(N8:N218=TRUE)*(O8:O218=TRUE),0))</f>
        <v>4</v>
      </c>
      <c r="AB12" s="63" t="s">
        <v>234</v>
      </c>
      <c r="AC12" s="63">
        <f>(SUM(_xlfn._xlws.FILTER(AC8:AC218,(E8:E218=E12)*(F8:F218=F12)*(ISNUMBER(G8:G218))*(H8:H218="")*(I8:I218="")*(N8:N218=FALSE)*(O8:O218=TRUE),0))+SUM(_xlfn._xlws.FILTER(AC8:AC218,(E8:E218=E12)*(F8:F218=F12)*(G8:G218="")*(H8:H218="")*(I8:I218="")*(N8:N218=TRUE)*(O8:O218=TRUE),0)))/IF(IFERROR(COUNT(_xlfn._xlws.FILTER(AC8:AC218,(E8:E218=E12)*(F8:F218=F12)*(ISNUMBER(G8:G218))*(H8:H218="")*(I8:I218="")*(N8:N218=FALSE)*(O8:O218=TRUE))),0)+IFERROR(COUNT(_xlfn._xlws.FILTER(AC8:AC218,(E8:E218=E12)*(F8:F218=F12)*(G8:G218="")*(H8:H218="")*(I8:I218="")*(N8:N218=TRUE)*(O8:O218=TRUE))),0)=0,1,IFERROR(COUNT(_xlfn._xlws.FILTER(AC8:AC218,(E8:E218=E12)*(F8:F218=F12)*(ISNUMBER(G8:G218))*(H8:H218="")*(I8:I218="")*(N8:N218=FALSE)*(O8:O218=TRUE))),0)+IFERROR(COUNT(_xlfn._xlws.FILTER(AC8:AC218,(E8:E218=E12)*(F8:F218=F12)*(G8:G218="")*(H8:H218="")*(I8:I218="")*(N8:N218=TRUE)*(O8:O218=TRUE))),0))</f>
        <v>0</v>
      </c>
      <c r="AD12" s="71">
        <f>(SUM(_xlfn._xlws.FILTER(AD8:AD218*(AE8:AE218),(E8:E218=E12)*(F8:F218=F12)*(ISNUMBER(G8:G218))*(H8:H218="")*(I8:I218="")*(N8:N218=FALSE)*(O8:O218=TRUE),0))+SUM(_xlfn._xlws.FILTER(AD8:AD218*(AE8:AE218),(E8:E218=E12)*(F8:F218=F12)*(G8:G218="")*(H8:H218="")*(I8:I218="")*(N8:N218=TRUE)*(O8:O218=TRUE),0)))/IF(SUM(_xlfn._xlws.FILTER(AE8:AE218,(E8:E218=E12)*(F8:F218=F12)*(ISNUMBER(G8:G218))*(H8:H218="")*(I8:I218="")*(N8:N218=FALSE)*(O8:O218=TRUE),0))+SUM(_xlfn._xlws.FILTER(AE8:AE218,(E8:E218=E12)*(F8:F218=F12)*(G8:G218="")*(H8:H218="")*(I8:I218="")*(N8:N218=TRUE)*(O8:O218=TRUE),0))=0,1,SUM(_xlfn._xlws.FILTER(AE8:AE218,(E8:E218=E12)*(F8:F218=F12)*(ISNUMBER(G8:G218))*(H8:H218="")*(I8:I218="")*(N8:N218=FALSE)*(O8:O218=TRUE),0))+SUM(_xlfn._xlws.FILTER(AE8:AE218,(E8:E218=E12)*(F8:F218=F12)*(G8:G218="")*(H8:H218="")*(I8:I218="")*(N8:N218=TRUE)*(O8:O218=TRUE),0)))</f>
        <v>0</v>
      </c>
      <c r="AE12" s="63">
        <v>1</v>
      </c>
      <c r="AF12" s="63" t="s">
        <v>234</v>
      </c>
      <c r="AG12" s="63" t="s">
        <v>234</v>
      </c>
      <c r="AH12" s="73"/>
      <c r="AI12" s="63">
        <f>SUM(_xlfn._xlws.FILTER(AI8:AI218,(E8:E218=E12)*(F8:F218=F12)*(ISNUMBER(G8:G218))*(H8:H218="")*(I8:I218="")*(N8:N218=FALSE)*(O8:O218=TRUE),0))+SUM(_xlfn._xlws.FILTER(AI8:AI218,(E8:E218=E12)*(F8:F218=F12)*(G8:G218="")*(H8:H218="")*(I8:I218="")*(N8:N218=TRUE)*(O8:O218=TRUE),0))</f>
        <v>0</v>
      </c>
      <c r="AJ12" s="63"/>
      <c r="AK12" s="63"/>
      <c r="AL12" s="63">
        <f>SUM(_xlfn._xlws.FILTER(AL8:AL218,(E8:E218=E12)*(F8:F218=F12)*(ISNUMBER(G8:G218))*(H8:H218="")*(I8:I218="")*(N8:N218=FALSE)*(O8:O218=TRUE),0))+SUM(_xlfn._xlws.FILTER(AL8:AL218,(E8:E218=E12)*(F8:F218=F12)*(G8:G218="")*(H8:H218="")*(I8:I218="")*(N8:N218=TRUE)*(O8:O218=TRUE),0))</f>
        <v>0</v>
      </c>
      <c r="AM12" s="63">
        <f>SUM(_xlfn._xlws.FILTER(AM8:AM218,(E8:E218=E12)*(F8:F218=F12)*(ISNUMBER(G8:G218))*(H8:H218="")*(I8:I218="")*(N8:N218=FALSE)*(O8:O218=TRUE),0))+SUM(_xlfn._xlws.FILTER(AM8:AM218,(E8:E218=E12)*(F8:F218=F12)*(G8:G218="")*(H8:H218="")*(I8:I218="")*(N8:N218=TRUE)*(O8:O218=TRUE),0))</f>
        <v>0</v>
      </c>
      <c r="AN12" s="63"/>
      <c r="AO12" s="63"/>
      <c r="AP12" s="63" t="s">
        <v>234</v>
      </c>
      <c r="AQ12" s="63" t="s">
        <v>234</v>
      </c>
    </row>
    <row r="13" spans="1:44" ht="18" customHeight="1">
      <c r="B13" s="63"/>
      <c r="C13" s="63" t="s">
        <v>257</v>
      </c>
      <c r="D13" s="63" t="s">
        <v>257</v>
      </c>
      <c r="E13" s="63">
        <v>1</v>
      </c>
      <c r="F13" s="63">
        <v>1</v>
      </c>
      <c r="G13" s="63"/>
      <c r="H13" s="63"/>
      <c r="I13" s="63"/>
      <c r="J13" s="63">
        <v>1</v>
      </c>
      <c r="K13" s="72" t="str">
        <f t="shared" si="0"/>
        <v>001.001.---.---.---.001</v>
      </c>
      <c r="L13" s="72">
        <f t="shared" si="1"/>
        <v>1</v>
      </c>
      <c r="M13" s="72">
        <f t="shared" si="2"/>
        <v>2</v>
      </c>
      <c r="N13" s="72" t="b">
        <f t="shared" si="3"/>
        <v>1</v>
      </c>
      <c r="O13" s="72" t="b">
        <f t="shared" si="4"/>
        <v>1</v>
      </c>
      <c r="P13" s="72" t="b">
        <f t="shared" si="5"/>
        <v>1</v>
      </c>
      <c r="Q13" s="72" t="b">
        <f t="shared" si="6"/>
        <v>0</v>
      </c>
      <c r="R13" s="72" t="str">
        <f t="shared" si="7"/>
        <v>1.1.T1</v>
      </c>
      <c r="X13" s="60" t="s">
        <v>236</v>
      </c>
      <c r="Z13" s="63">
        <v>1</v>
      </c>
      <c r="AA13" s="63">
        <f>IF(AB13="完了",1,0)</f>
        <v>0</v>
      </c>
      <c r="AB13" s="63" t="s">
        <v>237</v>
      </c>
      <c r="AC13" s="63">
        <f>AM13/IF(AL13+AM13=0,1,AL13+AM13)</f>
        <v>0</v>
      </c>
      <c r="AD13" s="71"/>
      <c r="AE13" s="63">
        <v>1</v>
      </c>
      <c r="AF13" s="63" t="s">
        <v>234</v>
      </c>
      <c r="AG13" s="63" t="s">
        <v>234</v>
      </c>
      <c r="AH13" s="73"/>
      <c r="AI13" s="63"/>
      <c r="AJ13" s="63"/>
      <c r="AK13" s="63"/>
      <c r="AL13" s="63"/>
      <c r="AM13" s="63"/>
      <c r="AN13" s="63"/>
      <c r="AO13" s="63"/>
      <c r="AP13" s="63" t="s">
        <v>234</v>
      </c>
      <c r="AQ13" s="63" t="s">
        <v>234</v>
      </c>
    </row>
    <row r="14" spans="1:44" ht="18" customHeight="1">
      <c r="B14" s="63"/>
      <c r="C14" s="63" t="s">
        <v>257</v>
      </c>
      <c r="D14" s="63" t="s">
        <v>257</v>
      </c>
      <c r="E14" s="63">
        <v>1</v>
      </c>
      <c r="F14" s="63">
        <v>1</v>
      </c>
      <c r="G14" s="63"/>
      <c r="H14" s="63"/>
      <c r="I14" s="63"/>
      <c r="J14" s="63">
        <v>2</v>
      </c>
      <c r="K14" s="72" t="str">
        <f t="shared" si="0"/>
        <v>001.001.---.---.---.002</v>
      </c>
      <c r="L14" s="72">
        <f t="shared" si="1"/>
        <v>1</v>
      </c>
      <c r="M14" s="72">
        <f t="shared" si="2"/>
        <v>2</v>
      </c>
      <c r="N14" s="72" t="b">
        <f t="shared" si="3"/>
        <v>1</v>
      </c>
      <c r="O14" s="72" t="b">
        <f t="shared" si="4"/>
        <v>0</v>
      </c>
      <c r="P14" s="72" t="b">
        <f t="shared" si="5"/>
        <v>1</v>
      </c>
      <c r="Q14" s="72" t="b">
        <f t="shared" si="6"/>
        <v>0</v>
      </c>
      <c r="R14" s="72" t="str">
        <f t="shared" si="7"/>
        <v>1.1.T2</v>
      </c>
      <c r="X14" s="60" t="s">
        <v>238</v>
      </c>
      <c r="Z14" s="63">
        <v>1</v>
      </c>
      <c r="AA14" s="63">
        <f>IF(AB14="完了",1,0)</f>
        <v>0</v>
      </c>
      <c r="AB14" s="63" t="s">
        <v>239</v>
      </c>
      <c r="AC14" s="63">
        <f>AM14/IF(AL14+AM14=0,1,AL14+AM14)</f>
        <v>0</v>
      </c>
      <c r="AD14" s="71"/>
      <c r="AE14" s="63">
        <v>1</v>
      </c>
      <c r="AF14" s="63" t="s">
        <v>234</v>
      </c>
      <c r="AG14" s="63" t="s">
        <v>234</v>
      </c>
      <c r="AH14" s="73"/>
      <c r="AI14" s="63"/>
      <c r="AJ14" s="63"/>
      <c r="AK14" s="63"/>
      <c r="AL14" s="63"/>
      <c r="AM14" s="63"/>
      <c r="AN14" s="63"/>
      <c r="AO14" s="63"/>
      <c r="AP14" s="63" t="s">
        <v>234</v>
      </c>
      <c r="AQ14" s="63" t="s">
        <v>234</v>
      </c>
    </row>
    <row r="15" spans="1:44" ht="18" customHeight="1">
      <c r="B15" s="63"/>
      <c r="C15" s="63" t="s">
        <v>257</v>
      </c>
      <c r="D15" s="63" t="s">
        <v>257</v>
      </c>
      <c r="E15" s="63">
        <v>1</v>
      </c>
      <c r="F15" s="63">
        <v>1</v>
      </c>
      <c r="G15" s="63"/>
      <c r="H15" s="63"/>
      <c r="I15" s="63"/>
      <c r="J15" s="63">
        <v>3</v>
      </c>
      <c r="K15" s="72" t="str">
        <f t="shared" si="0"/>
        <v>001.001.---.---.---.003</v>
      </c>
      <c r="L15" s="72">
        <f t="shared" si="1"/>
        <v>1</v>
      </c>
      <c r="M15" s="72">
        <f t="shared" si="2"/>
        <v>2</v>
      </c>
      <c r="N15" s="72" t="b">
        <f t="shared" si="3"/>
        <v>1</v>
      </c>
      <c r="O15" s="72" t="b">
        <f t="shared" si="4"/>
        <v>1</v>
      </c>
      <c r="P15" s="72" t="b">
        <f t="shared" si="5"/>
        <v>1</v>
      </c>
      <c r="Q15" s="72" t="b">
        <f t="shared" si="6"/>
        <v>0</v>
      </c>
      <c r="R15" s="72" t="str">
        <f t="shared" si="7"/>
        <v>1.1.T3</v>
      </c>
      <c r="X15" s="60" t="s">
        <v>240</v>
      </c>
      <c r="Z15" s="63">
        <v>1</v>
      </c>
      <c r="AA15" s="63">
        <f>IF(AB15="完了",1,0)</f>
        <v>0</v>
      </c>
      <c r="AB15" s="63" t="s">
        <v>234</v>
      </c>
      <c r="AC15" s="63">
        <f>AM15/IF(AL15+AM15=0,1,AL15+AM15)</f>
        <v>0</v>
      </c>
      <c r="AD15" s="71"/>
      <c r="AE15" s="63">
        <v>1</v>
      </c>
      <c r="AF15" s="63" t="s">
        <v>234</v>
      </c>
      <c r="AG15" s="63" t="s">
        <v>234</v>
      </c>
      <c r="AH15" s="73"/>
      <c r="AI15" s="63"/>
      <c r="AJ15" s="63"/>
      <c r="AK15" s="63"/>
      <c r="AL15" s="63"/>
      <c r="AM15" s="63"/>
      <c r="AN15" s="63"/>
      <c r="AO15" s="63"/>
      <c r="AP15" s="63" t="s">
        <v>234</v>
      </c>
      <c r="AQ15" s="63" t="s">
        <v>234</v>
      </c>
    </row>
    <row r="16" spans="1:44" ht="18" customHeight="1">
      <c r="B16" s="63"/>
      <c r="C16" s="63" t="s">
        <v>257</v>
      </c>
      <c r="D16" s="63" t="s">
        <v>257</v>
      </c>
      <c r="E16" s="63">
        <v>1</v>
      </c>
      <c r="F16" s="63">
        <v>1</v>
      </c>
      <c r="G16" s="63">
        <v>1</v>
      </c>
      <c r="H16" s="63"/>
      <c r="I16" s="63"/>
      <c r="J16" s="63"/>
      <c r="K16" s="72" t="str">
        <f t="shared" si="0"/>
        <v>001.001.001.---.---.---</v>
      </c>
      <c r="L16" s="72">
        <f t="shared" si="1"/>
        <v>1</v>
      </c>
      <c r="M16" s="72">
        <f t="shared" si="2"/>
        <v>3</v>
      </c>
      <c r="N16" s="72" t="b">
        <f t="shared" si="3"/>
        <v>0</v>
      </c>
      <c r="O16" s="72" t="b">
        <f t="shared" si="4"/>
        <v>1</v>
      </c>
      <c r="P16" s="72" t="b">
        <f t="shared" si="5"/>
        <v>1</v>
      </c>
      <c r="Q16" s="72" t="b">
        <f t="shared" si="6"/>
        <v>1</v>
      </c>
      <c r="R16" s="72" t="str">
        <f t="shared" si="7"/>
        <v>1.1.1</v>
      </c>
      <c r="U16" s="60" t="s">
        <v>241</v>
      </c>
      <c r="Z16" s="63">
        <f>SUM(_xlfn._xlws.FILTER(Z8:Z218,(E8:E218=E16)*(F8:F218=F16)*(G8:G218=G16)*(ISNUMBER(H8:H218))*(I8:I218="")*(N8:N218=FALSE)*(O8:O218=TRUE),0))+SUM(_xlfn._xlws.FILTER(Z8:Z218,(E8:E218=E16)*(F8:F218=F16)*(G8:G218=G16)*(H8:H218="")*(I8:I218="")*(N8:N218=TRUE)*(O8:O218=TRUE),0))</f>
        <v>20</v>
      </c>
      <c r="AA16" s="63">
        <f>SUM(_xlfn._xlws.FILTER(AA8:AA218,(E8:E218=E16)*(F8:F218=F16)*(G8:G218=G16)*(ISNUMBER(H8:H218))*(I8:I218="")*(N8:N218=FALSE)*(O8:O218=TRUE),0))+SUM(_xlfn._xlws.FILTER(AA8:AA218,(E8:E218=E16)*(F8:F218=F16)*(G8:G218=G16)*(H8:H218="")*(I8:I218="")*(N8:N218=TRUE)*(O8:O218=TRUE),0))</f>
        <v>2</v>
      </c>
      <c r="AB16" s="63" t="s">
        <v>234</v>
      </c>
      <c r="AC16" s="63">
        <f>(SUM(_xlfn._xlws.FILTER(AC8:AC218,(E8:E218=E16)*(F8:F218=F16)*(G8:G218=G16)*(ISNUMBER(H8:H218))*(I8:I218="")*(N8:N218=FALSE)*(O8:O218=TRUE),0))+SUM(_xlfn._xlws.FILTER(AC8:AC218,(E8:E218=E16)*(F8:F218=F16)*(G8:G218=G16)*(H8:H218="")*(I8:I218="")*(N8:N218=TRUE)*(O8:O218=TRUE),0)))/IF(IFERROR(COUNT(_xlfn._xlws.FILTER(AC8:AC218,(E8:E218=E16)*(F8:F218=F16)*(G8:G218=G16)*(ISNUMBER(H8:H218))*(I8:I218="")*(N8:N218=FALSE)*(O8:O218=TRUE))),0)+IFERROR(COUNT(_xlfn._xlws.FILTER(AC8:AC218,(E8:E218=E16)*(F8:F218=F16)*(G8:G218=G16)*(H8:H218="")*(I8:I218="")*(N8:N218=TRUE)*(O8:O218=TRUE))),0)=0,1,IFERROR(COUNT(_xlfn._xlws.FILTER(AC8:AC218,(E8:E218=E16)*(F8:F218=F16)*(G8:G218=G16)*(ISNUMBER(H8:H218))*(I8:I218="")*(N8:N218=FALSE)*(O8:O218=TRUE))),0)+IFERROR(COUNT(_xlfn._xlws.FILTER(AC8:AC218,(E8:E218=E16)*(F8:F218=F16)*(G8:G218=G16)*(H8:H218="")*(I8:I218="")*(N8:N218=TRUE)*(O8:O218=TRUE))),0))</f>
        <v>0</v>
      </c>
      <c r="AD16" s="71">
        <f>(SUM(_xlfn._xlws.FILTER(AD8:AD218*(AE8:AE218),(E8:E218=E16)*(F8:F218=F16)*(G8:G218=G16)*(ISNUMBER(H8:H218))*(I8:I218="")*(N8:N218=FALSE)*(O8:O218=TRUE),0))+SUM(_xlfn._xlws.FILTER(AD8:AD218*(AE8:AE218),(E8:E218=E16)*(F8:F218=F16)*(G8:G218=G16)*(H8:H218="")*(I8:I218="")*(N8:N218=TRUE)*(O8:O218=TRUE),0)))/IF(SUM(_xlfn._xlws.FILTER(AE8:AE218,(E8:E218=E16)*(F8:F218=F16)*(G8:G218=G16)*(ISNUMBER(H8:H218))*(I8:I218="")*(N8:N218=FALSE)*(O8:O218=TRUE),0))+SUM(_xlfn._xlws.FILTER(AE8:AE218,(E8:E218=E16)*(F8:F218=F16)*(G8:G218=G16)*(H8:H218="")*(I8:I218="")*(N8:N218=TRUE)*(O8:O218=TRUE),0))=0,1,SUM(_xlfn._xlws.FILTER(AE8:AE218,(E8:E218=E16)*(F8:F218=F16)*(G8:G218=G16)*(ISNUMBER(H8:H218))*(I8:I218="")*(N8:N218=FALSE)*(O8:O218=TRUE),0))+SUM(_xlfn._xlws.FILTER(AE8:AE218,(E8:E218=E16)*(F8:F218=F16)*(G8:G218=G16)*(H8:H218="")*(I8:I218="")*(N8:N218=TRUE)*(O8:O218=TRUE),0)))</f>
        <v>0</v>
      </c>
      <c r="AE16" s="63">
        <v>1</v>
      </c>
      <c r="AF16" s="63" t="s">
        <v>234</v>
      </c>
      <c r="AG16" s="63" t="s">
        <v>234</v>
      </c>
      <c r="AH16" s="73"/>
      <c r="AI16" s="63">
        <f>SUM(_xlfn._xlws.FILTER(AI8:AI218,(E8:E218=E16)*(F8:F218=F16)*(G8:G218=G16)*(ISNUMBER(H8:H218))*(I8:I218="")*(N8:N218=FALSE)*(O8:O218=TRUE),0))+SUM(_xlfn._xlws.FILTER(AI8:AI218,(E8:E218=E16)*(F8:F218=F16)*(G8:G218=G16)*(H8:H218="")*(I8:I218="")*(N8:N218=TRUE)*(O8:O218=TRUE),0))</f>
        <v>0</v>
      </c>
      <c r="AJ16" s="63"/>
      <c r="AK16" s="63"/>
      <c r="AL16" s="63">
        <f>SUM(_xlfn._xlws.FILTER(AL8:AL218,(E8:E218=E16)*(F8:F218=F16)*(G8:G218=G16)*(ISNUMBER(H8:H218))*(I8:I218="")*(N8:N218=FALSE)*(O8:O218=TRUE),0))+SUM(_xlfn._xlws.FILTER(AL8:AL218,(E8:E218=E16)*(F8:F218=F16)*(G8:G218=G16)*(H8:H218="")*(I8:I218="")*(N8:N218=TRUE)*(O8:O218=TRUE),0))</f>
        <v>0</v>
      </c>
      <c r="AM16" s="63">
        <f>SUM(_xlfn._xlws.FILTER(AM8:AM218,(E8:E218=E16)*(F8:F218=F16)*(G8:G218=G16)*(ISNUMBER(H8:H218))*(I8:I218="")*(N8:N218=FALSE)*(O8:O218=TRUE),0))+SUM(_xlfn._xlws.FILTER(AM8:AM218,(E8:E218=E16)*(F8:F218=F16)*(G8:G218=G16)*(H8:H218="")*(I8:I218="")*(N8:N218=TRUE)*(O8:O218=TRUE),0))</f>
        <v>0</v>
      </c>
      <c r="AN16" s="63"/>
      <c r="AO16" s="63"/>
      <c r="AP16" s="63" t="s">
        <v>234</v>
      </c>
      <c r="AQ16" s="63" t="s">
        <v>234</v>
      </c>
    </row>
    <row r="17" spans="2:43" ht="18" customHeight="1">
      <c r="B17" s="63"/>
      <c r="C17" s="63" t="s">
        <v>257</v>
      </c>
      <c r="D17" s="63" t="s">
        <v>257</v>
      </c>
      <c r="E17" s="63">
        <v>1</v>
      </c>
      <c r="F17" s="63">
        <v>1</v>
      </c>
      <c r="G17" s="63">
        <v>1</v>
      </c>
      <c r="H17" s="63"/>
      <c r="I17" s="63"/>
      <c r="J17" s="63">
        <v>1</v>
      </c>
      <c r="K17" s="72" t="str">
        <f t="shared" si="0"/>
        <v>001.001.001.---.---.001</v>
      </c>
      <c r="L17" s="72">
        <f t="shared" si="1"/>
        <v>1</v>
      </c>
      <c r="M17" s="72">
        <f t="shared" si="2"/>
        <v>3</v>
      </c>
      <c r="N17" s="72" t="b">
        <f t="shared" si="3"/>
        <v>1</v>
      </c>
      <c r="O17" s="72" t="b">
        <f t="shared" si="4"/>
        <v>0</v>
      </c>
      <c r="P17" s="72" t="b">
        <f t="shared" si="5"/>
        <v>1</v>
      </c>
      <c r="Q17" s="72" t="b">
        <f t="shared" si="6"/>
        <v>0</v>
      </c>
      <c r="R17" s="72" t="str">
        <f t="shared" si="7"/>
        <v>1.1.1.T1</v>
      </c>
      <c r="X17" s="60" t="s">
        <v>242</v>
      </c>
      <c r="Z17" s="63">
        <v>1</v>
      </c>
      <c r="AA17" s="63">
        <f>IF(AB17="完了",1,0)</f>
        <v>0</v>
      </c>
      <c r="AB17" s="63" t="s">
        <v>243</v>
      </c>
      <c r="AC17" s="63">
        <f>AM17/IF(AL17+AM17=0,1,AL17+AM17)</f>
        <v>0</v>
      </c>
      <c r="AD17" s="71"/>
      <c r="AE17" s="63">
        <v>1</v>
      </c>
      <c r="AF17" s="63" t="s">
        <v>234</v>
      </c>
      <c r="AG17" s="63" t="s">
        <v>234</v>
      </c>
      <c r="AH17" s="73"/>
      <c r="AI17" s="63"/>
      <c r="AJ17" s="63"/>
      <c r="AK17" s="63"/>
      <c r="AL17" s="63"/>
      <c r="AM17" s="63"/>
      <c r="AN17" s="63"/>
      <c r="AO17" s="63"/>
      <c r="AP17" s="63" t="s">
        <v>234</v>
      </c>
      <c r="AQ17" s="63" t="s">
        <v>234</v>
      </c>
    </row>
    <row r="18" spans="2:43" ht="18" customHeight="1">
      <c r="B18" s="63"/>
      <c r="C18" s="63" t="s">
        <v>257</v>
      </c>
      <c r="D18" s="63" t="s">
        <v>257</v>
      </c>
      <c r="E18" s="63">
        <v>1</v>
      </c>
      <c r="F18" s="63">
        <v>1</v>
      </c>
      <c r="G18" s="63">
        <v>1</v>
      </c>
      <c r="H18" s="63"/>
      <c r="I18" s="63"/>
      <c r="J18" s="63">
        <v>2</v>
      </c>
      <c r="K18" s="72" t="str">
        <f t="shared" si="0"/>
        <v>001.001.001.---.---.002</v>
      </c>
      <c r="L18" s="72">
        <f t="shared" si="1"/>
        <v>1</v>
      </c>
      <c r="M18" s="72">
        <f t="shared" si="2"/>
        <v>3</v>
      </c>
      <c r="N18" s="72" t="b">
        <f t="shared" si="3"/>
        <v>1</v>
      </c>
      <c r="O18" s="72" t="b">
        <f t="shared" si="4"/>
        <v>1</v>
      </c>
      <c r="P18" s="72" t="b">
        <f t="shared" si="5"/>
        <v>1</v>
      </c>
      <c r="Q18" s="72" t="b">
        <f t="shared" si="6"/>
        <v>0</v>
      </c>
      <c r="R18" s="72" t="str">
        <f t="shared" si="7"/>
        <v>1.1.1.T2</v>
      </c>
      <c r="X18" s="60" t="s">
        <v>244</v>
      </c>
      <c r="Z18" s="63">
        <v>1</v>
      </c>
      <c r="AA18" s="63">
        <f>IF(AB18="完了",1,0)</f>
        <v>0</v>
      </c>
      <c r="AB18" s="63" t="s">
        <v>245</v>
      </c>
      <c r="AC18" s="63">
        <f>AM18/IF(AL18+AM18=0,1,AL18+AM18)</f>
        <v>0</v>
      </c>
      <c r="AD18" s="71"/>
      <c r="AE18" s="63">
        <v>1</v>
      </c>
      <c r="AF18" s="63" t="s">
        <v>234</v>
      </c>
      <c r="AG18" s="63" t="s">
        <v>234</v>
      </c>
      <c r="AH18" s="73"/>
      <c r="AI18" s="63"/>
      <c r="AJ18" s="63"/>
      <c r="AK18" s="63"/>
      <c r="AL18" s="63"/>
      <c r="AM18" s="63"/>
      <c r="AN18" s="63"/>
      <c r="AO18" s="63"/>
      <c r="AP18" s="63" t="s">
        <v>234</v>
      </c>
      <c r="AQ18" s="63" t="s">
        <v>234</v>
      </c>
    </row>
    <row r="19" spans="2:43" ht="18" customHeight="1">
      <c r="B19" s="63"/>
      <c r="C19" s="63" t="s">
        <v>257</v>
      </c>
      <c r="D19" s="63" t="s">
        <v>257</v>
      </c>
      <c r="E19" s="63">
        <v>1</v>
      </c>
      <c r="F19" s="63">
        <v>1</v>
      </c>
      <c r="G19" s="63">
        <v>1</v>
      </c>
      <c r="H19" s="63"/>
      <c r="I19" s="63"/>
      <c r="J19" s="63">
        <v>3</v>
      </c>
      <c r="K19" s="72" t="str">
        <f t="shared" si="0"/>
        <v>001.001.001.---.---.003</v>
      </c>
      <c r="L19" s="72">
        <f t="shared" si="1"/>
        <v>1</v>
      </c>
      <c r="M19" s="72">
        <f t="shared" si="2"/>
        <v>3</v>
      </c>
      <c r="N19" s="72" t="b">
        <f t="shared" si="3"/>
        <v>1</v>
      </c>
      <c r="O19" s="72" t="b">
        <f t="shared" si="4"/>
        <v>1</v>
      </c>
      <c r="P19" s="72" t="b">
        <f t="shared" si="5"/>
        <v>1</v>
      </c>
      <c r="Q19" s="72" t="b">
        <f t="shared" si="6"/>
        <v>0</v>
      </c>
      <c r="R19" s="72" t="str">
        <f t="shared" si="7"/>
        <v>1.1.1.T3</v>
      </c>
      <c r="X19" s="60" t="s">
        <v>246</v>
      </c>
      <c r="Z19" s="63">
        <v>1</v>
      </c>
      <c r="AA19" s="63">
        <f>IF(AB19="完了",1,0)</f>
        <v>0</v>
      </c>
      <c r="AB19" s="63" t="s">
        <v>234</v>
      </c>
      <c r="AC19" s="63">
        <f>AM19/IF(AL19+AM19=0,1,AL19+AM19)</f>
        <v>0</v>
      </c>
      <c r="AD19" s="71"/>
      <c r="AE19" s="63">
        <v>1</v>
      </c>
      <c r="AF19" s="63" t="s">
        <v>234</v>
      </c>
      <c r="AG19" s="63" t="s">
        <v>234</v>
      </c>
      <c r="AH19" s="73"/>
      <c r="AI19" s="63"/>
      <c r="AJ19" s="63"/>
      <c r="AK19" s="63"/>
      <c r="AL19" s="63"/>
      <c r="AM19" s="63"/>
      <c r="AN19" s="63"/>
      <c r="AO19" s="63"/>
      <c r="AP19" s="63" t="s">
        <v>234</v>
      </c>
      <c r="AQ19" s="63" t="s">
        <v>234</v>
      </c>
    </row>
    <row r="20" spans="2:43" ht="18" customHeight="1">
      <c r="B20" s="63"/>
      <c r="C20" s="63" t="s">
        <v>257</v>
      </c>
      <c r="D20" s="63" t="s">
        <v>257</v>
      </c>
      <c r="E20" s="63">
        <v>1</v>
      </c>
      <c r="F20" s="63">
        <v>1</v>
      </c>
      <c r="G20" s="63">
        <v>1</v>
      </c>
      <c r="H20" s="63">
        <v>1</v>
      </c>
      <c r="I20" s="63"/>
      <c r="J20" s="63"/>
      <c r="K20" s="72" t="str">
        <f t="shared" si="0"/>
        <v>001.001.001.001.---.---</v>
      </c>
      <c r="L20" s="72">
        <f t="shared" si="1"/>
        <v>1</v>
      </c>
      <c r="M20" s="72">
        <f t="shared" si="2"/>
        <v>4</v>
      </c>
      <c r="N20" s="72" t="b">
        <f t="shared" si="3"/>
        <v>0</v>
      </c>
      <c r="O20" s="72" t="b">
        <f t="shared" si="4"/>
        <v>1</v>
      </c>
      <c r="P20" s="72" t="b">
        <f t="shared" si="5"/>
        <v>1</v>
      </c>
      <c r="Q20" s="72" t="b">
        <f t="shared" si="6"/>
        <v>1</v>
      </c>
      <c r="R20" s="72" t="str">
        <f t="shared" si="7"/>
        <v>1.1.1.1</v>
      </c>
      <c r="V20" s="60" t="s">
        <v>247</v>
      </c>
      <c r="Z20" s="63">
        <f>SUM(_xlfn._xlws.FILTER(Z8:Z218,(E8:E218=E20)*(F8:F218=F20)*(G8:G218=G20)*(H8:H218=H20)*(ISNUMBER(I8:I218))*(N8:N218=FALSE)*(O8:O218=TRUE),0))+SUM(_xlfn._xlws.FILTER(Z8:Z218,(E8:E218=E20)*(F8:F218=F20)*(G8:G218=G20)*(H8:H218=H20)*(I8:I218="")*(N8:N218=TRUE)*(O8:O218=TRUE),0))</f>
        <v>9</v>
      </c>
      <c r="AA20" s="63">
        <f>SUM(_xlfn._xlws.FILTER(AA8:AA218,(E8:E218=E20)*(F8:F218=F20)*(G8:G218=G20)*(H8:H218=H20)*(ISNUMBER(I8:I218))*(N8:N218=FALSE)*(O8:O218=TRUE),0))+SUM(_xlfn._xlws.FILTER(AA8:AA218,(E8:E218=E20)*(F8:F218=F20)*(G8:G218=G20)*(H8:H218=H20)*(I8:I218="")*(N8:N218=TRUE)*(O8:O218=TRUE),0))</f>
        <v>1</v>
      </c>
      <c r="AB20" s="63" t="s">
        <v>234</v>
      </c>
      <c r="AC20" s="63">
        <f>(SUM(_xlfn._xlws.FILTER(AC8:AC218,(E8:E218=E20)*(F8:F218=F20)*(G8:G218=G20)*(H8:H218=H20)*(ISNUMBER(I8:I218))*(N8:N218=FALSE)*(O8:O218=TRUE),0))+SUM(_xlfn._xlws.FILTER(AC8:AC218,(E8:E218=E20)*(F8:F218=F20)*(G8:G218=G20)*(H8:H218=H20)*(I8:I218="")*(N8:N218=TRUE)*(O8:O218=TRUE),0)))/IF(IFERROR(COUNT(_xlfn._xlws.FILTER(AC8:AC218,(E8:E218=E20)*(F8:F218=F20)*(G8:G218=G20)*(H8:H218=H20)*(ISNUMBER(I8:I218))*(N8:N218=FALSE)*(O8:O218=TRUE))),0)+IFERROR(COUNT(_xlfn._xlws.FILTER(AC8:AC218,(E8:E218=E20)*(F8:F218=F20)*(G8:G218=G20)*(H8:H218=H20)*(I8:I218="")*(N8:N218=TRUE)*(O8:O218=TRUE))),0)=0,1,IFERROR(COUNT(_xlfn._xlws.FILTER(AC8:AC218,(E8:E218=E20)*(F8:F218=F20)*(G8:G218=G20)*(H8:H218=H20)*(ISNUMBER(I8:I218))*(N8:N218=FALSE)*(O8:O218=TRUE))),0)+IFERROR(COUNT(_xlfn._xlws.FILTER(AC8:AC218,(E8:E218=E20)*(F8:F218=F20)*(G8:G218=G20)*(H8:H218=H20)*(I8:I218="")*(N8:N218=TRUE)*(O8:O218=TRUE))),0))</f>
        <v>0</v>
      </c>
      <c r="AD20" s="71">
        <f>(SUM(_xlfn._xlws.FILTER(AD8:AD218*(AE8:AE218),(E8:E218=E20)*(F8:F218=F20)*(G8:G218=G20)*(H8:H218=H20)*(ISNUMBER(I8:I218))*(N8:N218=FALSE)*(O8:O218=TRUE),0))+SUM(_xlfn._xlws.FILTER(AD8:AD218*(AE8:AE218),(E8:E218=E20)*(F8:F218=F20)*(G8:G218=G20)*(H8:H218=H20)*(I8:I218="")*(N8:N218=TRUE)*(O8:O218=TRUE),0)))/IF(SUM(_xlfn._xlws.FILTER(AE8:AE218,(E8:E218=E20)*(F8:F218=F20)*(G8:G218=G20)*(H8:H218=H20)*(ISNUMBER(I8:I218))*(N8:N218=FALSE)*(O8:O218=TRUE),0))+SUM(_xlfn._xlws.FILTER(AE8:AE218,(E8:E218=E20)*(F8:F218=F20)*(G8:G218=G20)*(H8:H218=H20)*(I8:I218="")*(N8:N218=TRUE)*(O8:O218=TRUE),0))=0,1,SUM(_xlfn._xlws.FILTER(AE8:AE218,(E8:E218=E20)*(F8:F218=F20)*(G8:G218=G20)*(H8:H218=H20)*(ISNUMBER(I8:I218))*(N8:N218=FALSE)*(O8:O218=TRUE),0))+SUM(_xlfn._xlws.FILTER(AE8:AE218,(E8:E218=E20)*(F8:F218=F20)*(G8:G218=G20)*(H8:H218=H20)*(I8:I218="")*(N8:N218=TRUE)*(O8:O218=TRUE),0)))</f>
        <v>0</v>
      </c>
      <c r="AE20" s="63">
        <v>1</v>
      </c>
      <c r="AF20" s="63" t="s">
        <v>234</v>
      </c>
      <c r="AG20" s="63" t="s">
        <v>234</v>
      </c>
      <c r="AH20" s="73"/>
      <c r="AI20" s="63">
        <f>SUM(_xlfn._xlws.FILTER(AI8:AI218,(E8:E218=E20)*(F8:F218=F20)*(G8:G218=G20)*(H8:H218=H20)*(ISNUMBER(I8:I218))*(N8:N218=FALSE)*(O8:O218=TRUE),0))+SUM(_xlfn._xlws.FILTER(AI8:AI218,(E8:E218=E20)*(F8:F218=F20)*(G8:G218=G20)*(H8:H218=H20)*(I8:I218="")*(N8:N218=TRUE)*(O8:O218=TRUE),0))</f>
        <v>0</v>
      </c>
      <c r="AJ20" s="63"/>
      <c r="AK20" s="63"/>
      <c r="AL20" s="63">
        <f>SUM(_xlfn._xlws.FILTER(AL8:AL218,(E8:E218=E20)*(F8:F218=F20)*(G8:G218=G20)*(H8:H218=H20)*(ISNUMBER(I8:I218))*(N8:N218=FALSE)*(O8:O218=TRUE),0))+SUM(_xlfn._xlws.FILTER(AL8:AL218,(E8:E218=E20)*(F8:F218=F20)*(G8:G218=G20)*(H8:H218=H20)*(I8:I218="")*(N8:N218=TRUE)*(O8:O218=TRUE),0))</f>
        <v>0</v>
      </c>
      <c r="AM20" s="63">
        <f>SUM(_xlfn._xlws.FILTER(AM8:AM218,(E8:E218=E20)*(F8:F218=F20)*(G8:G218=G20)*(H8:H218=H20)*(ISNUMBER(I8:I218))*(N8:N218=FALSE)*(O8:O218=TRUE),0))+SUM(_xlfn._xlws.FILTER(AM8:AM218,(E8:E218=E20)*(F8:F218=F20)*(G8:G218=G20)*(H8:H218=H20)*(I8:I218="")*(N8:N218=TRUE)*(O8:O218=TRUE),0))</f>
        <v>0</v>
      </c>
      <c r="AN20" s="63"/>
      <c r="AO20" s="63"/>
      <c r="AP20" s="63" t="s">
        <v>234</v>
      </c>
      <c r="AQ20" s="63" t="s">
        <v>234</v>
      </c>
    </row>
    <row r="21" spans="2:43" ht="18" customHeight="1">
      <c r="B21" s="63"/>
      <c r="C21" s="63" t="s">
        <v>257</v>
      </c>
      <c r="D21" s="63" t="s">
        <v>257</v>
      </c>
      <c r="E21" s="63">
        <v>1</v>
      </c>
      <c r="F21" s="63">
        <v>1</v>
      </c>
      <c r="G21" s="63">
        <v>1</v>
      </c>
      <c r="H21" s="63">
        <v>1</v>
      </c>
      <c r="I21" s="63"/>
      <c r="J21" s="63">
        <v>1</v>
      </c>
      <c r="K21" s="72" t="str">
        <f t="shared" si="0"/>
        <v>001.001.001.001.---.001</v>
      </c>
      <c r="L21" s="72">
        <f t="shared" si="1"/>
        <v>1</v>
      </c>
      <c r="M21" s="72">
        <f t="shared" si="2"/>
        <v>4</v>
      </c>
      <c r="N21" s="72" t="b">
        <f t="shared" si="3"/>
        <v>1</v>
      </c>
      <c r="O21" s="72" t="b">
        <f t="shared" si="4"/>
        <v>1</v>
      </c>
      <c r="P21" s="72" t="b">
        <f t="shared" si="5"/>
        <v>1</v>
      </c>
      <c r="Q21" s="72" t="b">
        <f t="shared" si="6"/>
        <v>0</v>
      </c>
      <c r="R21" s="72" t="str">
        <f t="shared" si="7"/>
        <v>1.1.1.1.T1</v>
      </c>
      <c r="X21" s="60" t="s">
        <v>248</v>
      </c>
      <c r="Z21" s="63">
        <v>1</v>
      </c>
      <c r="AA21" s="63">
        <f>IF(AB21="完了",1,0)</f>
        <v>1</v>
      </c>
      <c r="AB21" s="63" t="s">
        <v>204</v>
      </c>
      <c r="AC21" s="63">
        <f>AM21/IF(AL21+AM21=0,1,AL21+AM21)</f>
        <v>0</v>
      </c>
      <c r="AD21" s="71"/>
      <c r="AE21" s="63">
        <v>1</v>
      </c>
      <c r="AF21" s="63" t="s">
        <v>234</v>
      </c>
      <c r="AG21" s="63" t="s">
        <v>234</v>
      </c>
      <c r="AH21" s="73"/>
      <c r="AI21" s="63"/>
      <c r="AJ21" s="63"/>
      <c r="AK21" s="63"/>
      <c r="AL21" s="63"/>
      <c r="AM21" s="63"/>
      <c r="AN21" s="63"/>
      <c r="AO21" s="63"/>
      <c r="AP21" s="63" t="s">
        <v>234</v>
      </c>
      <c r="AQ21" s="63" t="s">
        <v>234</v>
      </c>
    </row>
    <row r="22" spans="2:43" ht="18" customHeight="1">
      <c r="B22" s="63"/>
      <c r="C22" s="63" t="s">
        <v>257</v>
      </c>
      <c r="D22" s="63" t="s">
        <v>257</v>
      </c>
      <c r="E22" s="63">
        <v>1</v>
      </c>
      <c r="F22" s="63">
        <v>1</v>
      </c>
      <c r="G22" s="63">
        <v>1</v>
      </c>
      <c r="H22" s="63">
        <v>1</v>
      </c>
      <c r="I22" s="63"/>
      <c r="J22" s="63">
        <v>2</v>
      </c>
      <c r="K22" s="72" t="str">
        <f t="shared" si="0"/>
        <v>001.001.001.001.---.002</v>
      </c>
      <c r="L22" s="72">
        <f t="shared" si="1"/>
        <v>1</v>
      </c>
      <c r="M22" s="72">
        <f t="shared" si="2"/>
        <v>4</v>
      </c>
      <c r="N22" s="72" t="b">
        <f t="shared" si="3"/>
        <v>1</v>
      </c>
      <c r="O22" s="72" t="b">
        <f t="shared" si="4"/>
        <v>1</v>
      </c>
      <c r="P22" s="72" t="b">
        <f t="shared" si="5"/>
        <v>1</v>
      </c>
      <c r="Q22" s="72" t="b">
        <f t="shared" si="6"/>
        <v>0</v>
      </c>
      <c r="R22" s="72" t="str">
        <f t="shared" si="7"/>
        <v>1.1.1.1.T2</v>
      </c>
      <c r="X22" s="60" t="s">
        <v>249</v>
      </c>
      <c r="Z22" s="63">
        <v>1</v>
      </c>
      <c r="AA22" s="63">
        <f>IF(AB22="完了",1,0)</f>
        <v>0</v>
      </c>
      <c r="AB22" s="63" t="s">
        <v>250</v>
      </c>
      <c r="AC22" s="63">
        <f>AM22/IF(AL22+AM22=0,1,AL22+AM22)</f>
        <v>0</v>
      </c>
      <c r="AD22" s="71"/>
      <c r="AE22" s="63">
        <v>1</v>
      </c>
      <c r="AF22" s="63" t="s">
        <v>234</v>
      </c>
      <c r="AG22" s="63" t="s">
        <v>234</v>
      </c>
      <c r="AH22" s="73"/>
      <c r="AI22" s="63"/>
      <c r="AJ22" s="63"/>
      <c r="AK22" s="63"/>
      <c r="AL22" s="63"/>
      <c r="AM22" s="63"/>
      <c r="AN22" s="63"/>
      <c r="AO22" s="63"/>
      <c r="AP22" s="63" t="s">
        <v>234</v>
      </c>
      <c r="AQ22" s="63" t="s">
        <v>234</v>
      </c>
    </row>
    <row r="23" spans="2:43" ht="18" customHeight="1">
      <c r="B23" s="63"/>
      <c r="C23" s="63" t="s">
        <v>257</v>
      </c>
      <c r="D23" s="63" t="s">
        <v>257</v>
      </c>
      <c r="E23" s="63">
        <v>1</v>
      </c>
      <c r="F23" s="63">
        <v>1</v>
      </c>
      <c r="G23" s="63">
        <v>1</v>
      </c>
      <c r="H23" s="63">
        <v>1</v>
      </c>
      <c r="I23" s="63"/>
      <c r="J23" s="63">
        <v>3</v>
      </c>
      <c r="K23" s="72" t="str">
        <f t="shared" si="0"/>
        <v>001.001.001.001.---.003</v>
      </c>
      <c r="L23" s="72">
        <f t="shared" si="1"/>
        <v>1</v>
      </c>
      <c r="M23" s="72">
        <f t="shared" si="2"/>
        <v>4</v>
      </c>
      <c r="N23" s="72" t="b">
        <f t="shared" si="3"/>
        <v>1</v>
      </c>
      <c r="O23" s="72" t="b">
        <f t="shared" si="4"/>
        <v>1</v>
      </c>
      <c r="P23" s="72" t="b">
        <f t="shared" si="5"/>
        <v>1</v>
      </c>
      <c r="Q23" s="72" t="b">
        <f t="shared" si="6"/>
        <v>0</v>
      </c>
      <c r="R23" s="72" t="str">
        <f t="shared" si="7"/>
        <v>1.1.1.1.T3</v>
      </c>
      <c r="X23" s="60" t="s">
        <v>251</v>
      </c>
      <c r="Z23" s="63">
        <v>1</v>
      </c>
      <c r="AA23" s="63">
        <f>IF(AB23="完了",1,0)</f>
        <v>0</v>
      </c>
      <c r="AB23" s="63" t="s">
        <v>234</v>
      </c>
      <c r="AC23" s="63">
        <f>AM23/IF(AL23+AM23=0,1,AL23+AM23)</f>
        <v>0</v>
      </c>
      <c r="AD23" s="71"/>
      <c r="AE23" s="63">
        <v>1</v>
      </c>
      <c r="AF23" s="63" t="s">
        <v>234</v>
      </c>
      <c r="AG23" s="63" t="s">
        <v>234</v>
      </c>
      <c r="AH23" s="73"/>
      <c r="AI23" s="63"/>
      <c r="AJ23" s="63"/>
      <c r="AK23" s="63"/>
      <c r="AL23" s="63"/>
      <c r="AM23" s="63"/>
      <c r="AN23" s="63"/>
      <c r="AO23" s="63"/>
      <c r="AP23" s="63" t="s">
        <v>234</v>
      </c>
      <c r="AQ23" s="63" t="s">
        <v>234</v>
      </c>
    </row>
    <row r="24" spans="2:43" ht="18" customHeight="1">
      <c r="B24" s="63"/>
      <c r="C24" s="63" t="s">
        <v>257</v>
      </c>
      <c r="D24" s="63" t="s">
        <v>257</v>
      </c>
      <c r="E24" s="63">
        <v>1</v>
      </c>
      <c r="F24" s="63">
        <v>1</v>
      </c>
      <c r="G24" s="63">
        <v>1</v>
      </c>
      <c r="H24" s="63">
        <v>1</v>
      </c>
      <c r="I24" s="63">
        <v>1</v>
      </c>
      <c r="J24" s="63"/>
      <c r="K24" s="72" t="str">
        <f t="shared" si="0"/>
        <v>001.001.001.001.001.---</v>
      </c>
      <c r="L24" s="72">
        <f t="shared" si="1"/>
        <v>1</v>
      </c>
      <c r="M24" s="72">
        <f t="shared" si="2"/>
        <v>5</v>
      </c>
      <c r="N24" s="72" t="b">
        <f t="shared" si="3"/>
        <v>0</v>
      </c>
      <c r="O24" s="72" t="b">
        <f t="shared" si="4"/>
        <v>1</v>
      </c>
      <c r="P24" s="72" t="b">
        <f t="shared" si="5"/>
        <v>1</v>
      </c>
      <c r="Q24" s="72" t="b">
        <f t="shared" si="6"/>
        <v>1</v>
      </c>
      <c r="R24" s="72" t="str">
        <f t="shared" si="7"/>
        <v>1.1.1.1.1</v>
      </c>
      <c r="W24" s="60" t="s">
        <v>252</v>
      </c>
      <c r="Z24" s="63">
        <f>SUM(_xlfn._xlws.FILTER(Z8:Z218,(E8:E218=E24)*(F8:F218=F24)*(G8:G218=G24)*(H8:H218=H24)*(I8:I218=I24)*(N8:N218=TRUE)*(O8:O218=TRUE),0))</f>
        <v>3</v>
      </c>
      <c r="AA24" s="63">
        <f>SUM(_xlfn._xlws.FILTER(AA8:AA218,(E8:E218=E24)*(F8:F218=F24)*(G8:G218=G24)*(H8:H218=H24)*(I8:I218=I24)*(N8:N218=TRUE)*(O8:O218=TRUE),0))</f>
        <v>0</v>
      </c>
      <c r="AB24" s="63" t="s">
        <v>234</v>
      </c>
      <c r="AC24" s="63">
        <f>SUM(_xlfn._xlws.FILTER(AC8:AC218,(E8:E218=E24)*(F8:F218=F24)*(G8:G218=G24)*(H8:H218=H24)*(I8:I218=I24)*(N8:N218=TRUE)*(O8:O218=TRUE),0))/IF(IFERROR(COUNT(_xlfn._xlws.FILTER(AC8:AC218,(E8:E218=E24)*(F8:F218=F24)*(G8:G218=G24)*(H8:H218=H24)*(I8:I218=I24)*(N8:N218=TRUE)*(O8:O218=TRUE))),0)=0,1,IFERROR(COUNT(_xlfn._xlws.FILTER(AC8:AC218,(E8:E218=E24)*(F8:F218=F24)*(G8:G218=G24)*(H8:H218=H24)*(I8:I218=I24)*(N8:N218=TRUE)*(O8:O218=TRUE))),0))</f>
        <v>0</v>
      </c>
      <c r="AD24" s="71">
        <f>SUM(_xlfn._xlws.FILTER(AD8:AD218*(AE8:AE218),(E8:E218=E24)*(F8:F218=F24)*(G8:G218=G24)*(H8:H218=H24)*(I8:I218=I24)*(N8:N218=TRUE)*(O8:O218=TRUE),0))/IF(SUM(_xlfn._xlws.FILTER(AE8:AE218,(E8:E218=E24)*(F8:F218=F24)*(G8:G218=G24)*(H8:H218=H24)*(I8:I218=I24)*(N8:N218=TRUE)*(O8:O218=TRUE),0))=0,1,SUM(_xlfn._xlws.FILTER(AE8:AE218,(E8:E218=E24)*(F8:F218=F24)*(G8:G218=G24)*(H8:H218=H24)*(I8:I218=I24)*(N8:N218=TRUE)*(O8:O218=TRUE),0)))</f>
        <v>0</v>
      </c>
      <c r="AE24" s="63">
        <v>1</v>
      </c>
      <c r="AF24" s="63" t="s">
        <v>234</v>
      </c>
      <c r="AG24" s="63" t="s">
        <v>234</v>
      </c>
      <c r="AH24" s="73"/>
      <c r="AI24" s="63">
        <f>SUM(_xlfn._xlws.FILTER(AI8:AI218,(E8:E218=E24)*(F8:F218=F24)*(G8:G218=G24)*(H8:H218=H24)*(I8:I218=I24)*(N8:N218=TRUE)*(O8:O218=TRUE),0))</f>
        <v>0</v>
      </c>
      <c r="AJ24" s="63"/>
      <c r="AK24" s="63"/>
      <c r="AL24" s="63">
        <f>SUM(_xlfn._xlws.FILTER(AL8:AL218,(E8:E218=E24)*(F8:F218=F24)*(G8:G218=G24)*(H8:H218=H24)*(I8:I218=I24)*(N8:N218=TRUE)*(O8:O218=TRUE),0))</f>
        <v>0</v>
      </c>
      <c r="AM24" s="63">
        <f>SUM(_xlfn._xlws.FILTER(AM8:AM218,(E8:E218=E24)*(F8:F218=F24)*(G8:G218=G24)*(H8:H218=H24)*(I8:I218=I24)*(N8:N218=TRUE)*(O8:O218=TRUE),0))</f>
        <v>0</v>
      </c>
      <c r="AN24" s="63"/>
      <c r="AO24" s="63"/>
      <c r="AP24" s="63" t="s">
        <v>234</v>
      </c>
      <c r="AQ24" s="63" t="s">
        <v>234</v>
      </c>
    </row>
    <row r="25" spans="2:43" ht="18" customHeight="1">
      <c r="B25" s="63"/>
      <c r="C25" s="63" t="s">
        <v>257</v>
      </c>
      <c r="D25" s="63" t="s">
        <v>257</v>
      </c>
      <c r="E25" s="63">
        <v>1</v>
      </c>
      <c r="F25" s="63">
        <v>1</v>
      </c>
      <c r="G25" s="63">
        <v>1</v>
      </c>
      <c r="H25" s="63">
        <v>1</v>
      </c>
      <c r="I25" s="63">
        <v>1</v>
      </c>
      <c r="J25" s="63">
        <v>1</v>
      </c>
      <c r="K25" s="72" t="str">
        <f t="shared" si="0"/>
        <v>001.001.001.001.001.001</v>
      </c>
      <c r="L25" s="72">
        <f t="shared" si="1"/>
        <v>1</v>
      </c>
      <c r="M25" s="72">
        <f t="shared" si="2"/>
        <v>5</v>
      </c>
      <c r="N25" s="72" t="b">
        <f t="shared" si="3"/>
        <v>1</v>
      </c>
      <c r="O25" s="72" t="b">
        <f t="shared" si="4"/>
        <v>1</v>
      </c>
      <c r="P25" s="72" t="b">
        <f t="shared" si="5"/>
        <v>1</v>
      </c>
      <c r="Q25" s="72" t="b">
        <f t="shared" si="6"/>
        <v>0</v>
      </c>
      <c r="R25" s="72" t="str">
        <f t="shared" si="7"/>
        <v>1.1.1.1.1.T1</v>
      </c>
      <c r="X25" s="60" t="s">
        <v>253</v>
      </c>
      <c r="Z25" s="63">
        <v>1</v>
      </c>
      <c r="AA25" s="63">
        <f>IF(AB25="完了",1,0)</f>
        <v>0</v>
      </c>
      <c r="AB25" s="63" t="s">
        <v>234</v>
      </c>
      <c r="AC25" s="63">
        <f>AM25/IF(AL25+AM25=0,1,AL25+AM25)</f>
        <v>0</v>
      </c>
      <c r="AD25" s="71"/>
      <c r="AE25" s="63">
        <v>1</v>
      </c>
      <c r="AF25" s="63" t="s">
        <v>234</v>
      </c>
      <c r="AG25" s="63" t="s">
        <v>234</v>
      </c>
      <c r="AH25" s="73"/>
      <c r="AI25" s="63"/>
      <c r="AJ25" s="63"/>
      <c r="AK25" s="63"/>
      <c r="AL25" s="63"/>
      <c r="AM25" s="63"/>
      <c r="AN25" s="63"/>
      <c r="AO25" s="63"/>
      <c r="AP25" s="63" t="s">
        <v>234</v>
      </c>
      <c r="AQ25" s="63" t="s">
        <v>234</v>
      </c>
    </row>
    <row r="26" spans="2:43" ht="18" customHeight="1">
      <c r="B26" s="63"/>
      <c r="C26" s="63" t="s">
        <v>257</v>
      </c>
      <c r="D26" s="63" t="s">
        <v>257</v>
      </c>
      <c r="E26" s="63">
        <v>1</v>
      </c>
      <c r="F26" s="63">
        <v>1</v>
      </c>
      <c r="G26" s="63">
        <v>1</v>
      </c>
      <c r="H26" s="63">
        <v>1</v>
      </c>
      <c r="I26" s="63">
        <v>1</v>
      </c>
      <c r="J26" s="63">
        <v>2</v>
      </c>
      <c r="K26" s="72" t="str">
        <f t="shared" si="0"/>
        <v>001.001.001.001.001.002</v>
      </c>
      <c r="L26" s="72">
        <f t="shared" si="1"/>
        <v>1</v>
      </c>
      <c r="M26" s="72">
        <f t="shared" si="2"/>
        <v>5</v>
      </c>
      <c r="N26" s="72" t="b">
        <f t="shared" si="3"/>
        <v>1</v>
      </c>
      <c r="O26" s="72" t="b">
        <f t="shared" si="4"/>
        <v>1</v>
      </c>
      <c r="P26" s="72" t="b">
        <f t="shared" si="5"/>
        <v>1</v>
      </c>
      <c r="Q26" s="72" t="b">
        <f t="shared" si="6"/>
        <v>0</v>
      </c>
      <c r="R26" s="72" t="str">
        <f t="shared" si="7"/>
        <v>1.1.1.1.1.T2</v>
      </c>
      <c r="X26" s="60" t="s">
        <v>254</v>
      </c>
      <c r="Z26" s="63">
        <v>1</v>
      </c>
      <c r="AA26" s="63">
        <f>IF(AB26="完了",1,0)</f>
        <v>0</v>
      </c>
      <c r="AB26" s="63" t="s">
        <v>234</v>
      </c>
      <c r="AC26" s="63">
        <f>AM26/IF(AL26+AM26=0,1,AL26+AM26)</f>
        <v>0</v>
      </c>
      <c r="AD26" s="71"/>
      <c r="AE26" s="63">
        <v>1</v>
      </c>
      <c r="AF26" s="63" t="s">
        <v>234</v>
      </c>
      <c r="AG26" s="63" t="s">
        <v>234</v>
      </c>
      <c r="AH26" s="73"/>
      <c r="AI26" s="63"/>
      <c r="AJ26" s="63"/>
      <c r="AK26" s="63"/>
      <c r="AL26" s="63"/>
      <c r="AM26" s="63"/>
      <c r="AN26" s="63"/>
      <c r="AO26" s="63"/>
      <c r="AP26" s="63" t="s">
        <v>234</v>
      </c>
      <c r="AQ26" s="63" t="s">
        <v>234</v>
      </c>
    </row>
    <row r="27" spans="2:43" ht="18" customHeight="1">
      <c r="B27" s="63"/>
      <c r="C27" s="63" t="s">
        <v>257</v>
      </c>
      <c r="D27" s="63" t="s">
        <v>257</v>
      </c>
      <c r="E27" s="63">
        <v>1</v>
      </c>
      <c r="F27" s="63">
        <v>1</v>
      </c>
      <c r="G27" s="63">
        <v>1</v>
      </c>
      <c r="H27" s="63">
        <v>1</v>
      </c>
      <c r="I27" s="63">
        <v>1</v>
      </c>
      <c r="J27" s="63">
        <v>3</v>
      </c>
      <c r="K27" s="72" t="str">
        <f t="shared" si="0"/>
        <v>001.001.001.001.001.003</v>
      </c>
      <c r="L27" s="72">
        <f t="shared" si="1"/>
        <v>1</v>
      </c>
      <c r="M27" s="72">
        <f t="shared" si="2"/>
        <v>5</v>
      </c>
      <c r="N27" s="72" t="b">
        <f t="shared" si="3"/>
        <v>1</v>
      </c>
      <c r="O27" s="72" t="b">
        <f t="shared" si="4"/>
        <v>1</v>
      </c>
      <c r="P27" s="72" t="b">
        <f t="shared" si="5"/>
        <v>1</v>
      </c>
      <c r="Q27" s="72" t="b">
        <f t="shared" si="6"/>
        <v>0</v>
      </c>
      <c r="R27" s="72" t="str">
        <f t="shared" si="7"/>
        <v>1.1.1.1.1.T3</v>
      </c>
      <c r="Z27" s="63">
        <v>1</v>
      </c>
      <c r="AA27" s="63">
        <f>IF(AB27="完了",1,0)</f>
        <v>0</v>
      </c>
      <c r="AB27" s="63" t="s">
        <v>234</v>
      </c>
      <c r="AC27" s="63">
        <f>AM27/IF(AL27+AM27=0,1,AL27+AM27)</f>
        <v>0</v>
      </c>
      <c r="AD27" s="71"/>
      <c r="AE27" s="63">
        <v>1</v>
      </c>
      <c r="AF27" s="63" t="s">
        <v>234</v>
      </c>
      <c r="AG27" s="63" t="s">
        <v>234</v>
      </c>
      <c r="AH27" s="73"/>
      <c r="AI27" s="63"/>
      <c r="AJ27" s="63"/>
      <c r="AK27" s="63"/>
      <c r="AL27" s="63"/>
      <c r="AM27" s="63"/>
      <c r="AN27" s="63"/>
      <c r="AO27" s="63"/>
      <c r="AP27" s="63" t="s">
        <v>234</v>
      </c>
      <c r="AQ27" s="63" t="s">
        <v>234</v>
      </c>
    </row>
    <row r="28" spans="2:43" ht="18" customHeight="1">
      <c r="B28" s="63"/>
      <c r="C28" s="63" t="s">
        <v>257</v>
      </c>
      <c r="D28" s="63" t="s">
        <v>257</v>
      </c>
      <c r="E28" s="63">
        <v>1</v>
      </c>
      <c r="F28" s="63">
        <v>1</v>
      </c>
      <c r="G28" s="63">
        <v>1</v>
      </c>
      <c r="H28" s="63">
        <v>1</v>
      </c>
      <c r="I28" s="63">
        <v>2</v>
      </c>
      <c r="J28" s="63"/>
      <c r="K28" s="72" t="str">
        <f t="shared" si="0"/>
        <v>001.001.001.001.002.---</v>
      </c>
      <c r="L28" s="72">
        <f t="shared" si="1"/>
        <v>1</v>
      </c>
      <c r="M28" s="72">
        <f t="shared" si="2"/>
        <v>5</v>
      </c>
      <c r="N28" s="72" t="b">
        <f t="shared" si="3"/>
        <v>0</v>
      </c>
      <c r="O28" s="72" t="b">
        <f t="shared" si="4"/>
        <v>1</v>
      </c>
      <c r="P28" s="72" t="b">
        <f t="shared" si="5"/>
        <v>1</v>
      </c>
      <c r="Q28" s="72" t="b">
        <f t="shared" si="6"/>
        <v>1</v>
      </c>
      <c r="R28" s="72" t="str">
        <f t="shared" si="7"/>
        <v>1.1.1.1.2</v>
      </c>
      <c r="Z28" s="63">
        <f>SUM(_xlfn._xlws.FILTER(Z8:Z218,(E8:E218=E28)*(F8:F218=F28)*(G8:G218=G28)*(H8:H218=H28)*(I8:I218=I28)*(N8:N218=TRUE)*(O8:O218=TRUE),0))</f>
        <v>3</v>
      </c>
      <c r="AA28" s="63">
        <f>SUM(_xlfn._xlws.FILTER(AA8:AA218,(E8:E218=E28)*(F8:F218=F28)*(G8:G218=G28)*(H8:H218=H28)*(I8:I218=I28)*(N8:N218=TRUE)*(O8:O218=TRUE),0))</f>
        <v>0</v>
      </c>
      <c r="AB28" s="63" t="s">
        <v>234</v>
      </c>
      <c r="AC28" s="63">
        <f>SUM(_xlfn._xlws.FILTER(AC8:AC218,(E8:E218=E28)*(F8:F218=F28)*(G8:G218=G28)*(H8:H218=H28)*(I8:I218=I28)*(N8:N218=TRUE)*(O8:O218=TRUE),0))/IF(IFERROR(COUNT(_xlfn._xlws.FILTER(AC8:AC218,(E8:E218=E28)*(F8:F218=F28)*(G8:G218=G28)*(H8:H218=H28)*(I8:I218=I28)*(N8:N218=TRUE)*(O8:O218=TRUE))),0)=0,1,IFERROR(COUNT(_xlfn._xlws.FILTER(AC8:AC218,(E8:E218=E28)*(F8:F218=F28)*(G8:G218=G28)*(H8:H218=H28)*(I8:I218=I28)*(N8:N218=TRUE)*(O8:O218=TRUE))),0))</f>
        <v>0</v>
      </c>
      <c r="AD28" s="71">
        <f>SUM(_xlfn._xlws.FILTER(AD8:AD218*(AE8:AE218),(E8:E218=E28)*(F8:F218=F28)*(G8:G218=G28)*(H8:H218=H28)*(I8:I218=I28)*(N8:N218=TRUE)*(O8:O218=TRUE),0))/IF(SUM(_xlfn._xlws.FILTER(AE8:AE218,(E8:E218=E28)*(F8:F218=F28)*(G8:G218=G28)*(H8:H218=H28)*(I8:I218=I28)*(N8:N218=TRUE)*(O8:O218=TRUE),0))=0,1,SUM(_xlfn._xlws.FILTER(AE8:AE218,(E8:E218=E28)*(F8:F218=F28)*(G8:G218=G28)*(H8:H218=H28)*(I8:I218=I28)*(N8:N218=TRUE)*(O8:O218=TRUE),0)))</f>
        <v>0</v>
      </c>
      <c r="AE28" s="63">
        <v>1</v>
      </c>
      <c r="AF28" s="63" t="s">
        <v>234</v>
      </c>
      <c r="AG28" s="63" t="s">
        <v>234</v>
      </c>
      <c r="AH28" s="73"/>
      <c r="AI28" s="63">
        <f>SUM(_xlfn._xlws.FILTER(AI8:AI218,(E8:E218=E28)*(F8:F218=F28)*(G8:G218=G28)*(H8:H218=H28)*(I8:I218=I28)*(N8:N218=TRUE)*(O8:O218=TRUE),0))</f>
        <v>0</v>
      </c>
      <c r="AJ28" s="63"/>
      <c r="AK28" s="63"/>
      <c r="AL28" s="63">
        <f>SUM(_xlfn._xlws.FILTER(AL8:AL218,(E8:E218=E28)*(F8:F218=F28)*(G8:G218=G28)*(H8:H218=H28)*(I8:I218=I28)*(N8:N218=TRUE)*(O8:O218=TRUE),0))</f>
        <v>0</v>
      </c>
      <c r="AM28" s="63">
        <f>SUM(_xlfn._xlws.FILTER(AM8:AM218,(E8:E218=E28)*(F8:F218=F28)*(G8:G218=G28)*(H8:H218=H28)*(I8:I218=I28)*(N8:N218=TRUE)*(O8:O218=TRUE),0))</f>
        <v>0</v>
      </c>
      <c r="AN28" s="63"/>
      <c r="AO28" s="63"/>
      <c r="AP28" s="63" t="s">
        <v>234</v>
      </c>
      <c r="AQ28" s="63" t="s">
        <v>234</v>
      </c>
    </row>
    <row r="29" spans="2:43" ht="18" customHeight="1">
      <c r="B29" s="63"/>
      <c r="C29" s="63" t="s">
        <v>257</v>
      </c>
      <c r="D29" s="63" t="s">
        <v>257</v>
      </c>
      <c r="E29" s="63">
        <v>1</v>
      </c>
      <c r="F29" s="63">
        <v>1</v>
      </c>
      <c r="G29" s="63">
        <v>1</v>
      </c>
      <c r="H29" s="63">
        <v>1</v>
      </c>
      <c r="I29" s="63">
        <v>2</v>
      </c>
      <c r="J29" s="63">
        <v>1</v>
      </c>
      <c r="K29" s="72" t="str">
        <f t="shared" si="0"/>
        <v>001.001.001.001.002.001</v>
      </c>
      <c r="L29" s="72">
        <f t="shared" si="1"/>
        <v>1</v>
      </c>
      <c r="M29" s="72">
        <f t="shared" si="2"/>
        <v>5</v>
      </c>
      <c r="N29" s="72" t="b">
        <f t="shared" si="3"/>
        <v>1</v>
      </c>
      <c r="O29" s="72" t="b">
        <f t="shared" si="4"/>
        <v>1</v>
      </c>
      <c r="P29" s="72" t="b">
        <f t="shared" si="5"/>
        <v>1</v>
      </c>
      <c r="Q29" s="72" t="b">
        <f t="shared" si="6"/>
        <v>0</v>
      </c>
      <c r="R29" s="72" t="str">
        <f t="shared" si="7"/>
        <v>1.1.1.1.2.T1</v>
      </c>
      <c r="X29" s="60" t="s">
        <v>253</v>
      </c>
      <c r="Z29" s="63">
        <v>1</v>
      </c>
      <c r="AA29" s="63">
        <f>IF(AB29="完了",1,0)</f>
        <v>0</v>
      </c>
      <c r="AB29" s="63" t="s">
        <v>234</v>
      </c>
      <c r="AC29" s="63">
        <f>AM29/IF(AL29+AM29=0,1,AL29+AM29)</f>
        <v>0</v>
      </c>
      <c r="AD29" s="71"/>
      <c r="AE29" s="63">
        <v>1</v>
      </c>
      <c r="AF29" s="63" t="s">
        <v>234</v>
      </c>
      <c r="AG29" s="63" t="s">
        <v>234</v>
      </c>
      <c r="AH29" s="73"/>
      <c r="AI29" s="63"/>
      <c r="AJ29" s="63"/>
      <c r="AK29" s="63"/>
      <c r="AL29" s="63"/>
      <c r="AM29" s="63"/>
      <c r="AN29" s="63"/>
      <c r="AO29" s="63"/>
      <c r="AP29" s="63" t="s">
        <v>234</v>
      </c>
      <c r="AQ29" s="63" t="s">
        <v>234</v>
      </c>
    </row>
    <row r="30" spans="2:43" ht="18" customHeight="1">
      <c r="B30" s="63"/>
      <c r="C30" s="63" t="s">
        <v>257</v>
      </c>
      <c r="D30" s="63" t="s">
        <v>257</v>
      </c>
      <c r="E30" s="63">
        <v>1</v>
      </c>
      <c r="F30" s="63">
        <v>1</v>
      </c>
      <c r="G30" s="63">
        <v>1</v>
      </c>
      <c r="H30" s="63">
        <v>1</v>
      </c>
      <c r="I30" s="63">
        <v>2</v>
      </c>
      <c r="J30" s="63">
        <v>2</v>
      </c>
      <c r="K30" s="72" t="str">
        <f t="shared" si="0"/>
        <v>001.001.001.001.002.002</v>
      </c>
      <c r="L30" s="72">
        <f t="shared" si="1"/>
        <v>1</v>
      </c>
      <c r="M30" s="72">
        <f t="shared" si="2"/>
        <v>5</v>
      </c>
      <c r="N30" s="72" t="b">
        <f t="shared" si="3"/>
        <v>1</v>
      </c>
      <c r="O30" s="72" t="b">
        <f t="shared" si="4"/>
        <v>1</v>
      </c>
      <c r="P30" s="72" t="b">
        <f t="shared" si="5"/>
        <v>1</v>
      </c>
      <c r="Q30" s="72" t="b">
        <f t="shared" si="6"/>
        <v>0</v>
      </c>
      <c r="R30" s="72" t="str">
        <f t="shared" si="7"/>
        <v>1.1.1.1.2.T2</v>
      </c>
      <c r="X30" s="60" t="s">
        <v>254</v>
      </c>
      <c r="Z30" s="63">
        <v>1</v>
      </c>
      <c r="AA30" s="63">
        <f>IF(AB30="完了",1,0)</f>
        <v>0</v>
      </c>
      <c r="AB30" s="63" t="s">
        <v>234</v>
      </c>
      <c r="AC30" s="63">
        <f>AM30/IF(AL30+AM30=0,1,AL30+AM30)</f>
        <v>0</v>
      </c>
      <c r="AD30" s="71"/>
      <c r="AE30" s="63">
        <v>1</v>
      </c>
      <c r="AF30" s="63" t="s">
        <v>234</v>
      </c>
      <c r="AG30" s="63" t="s">
        <v>234</v>
      </c>
      <c r="AH30" s="73"/>
      <c r="AI30" s="63"/>
      <c r="AJ30" s="63"/>
      <c r="AK30" s="63"/>
      <c r="AL30" s="63"/>
      <c r="AM30" s="63"/>
      <c r="AN30" s="63"/>
      <c r="AO30" s="63"/>
      <c r="AP30" s="63" t="s">
        <v>234</v>
      </c>
      <c r="AQ30" s="63" t="s">
        <v>234</v>
      </c>
    </row>
    <row r="31" spans="2:43" ht="18" customHeight="1">
      <c r="B31" s="63"/>
      <c r="C31" s="63" t="s">
        <v>257</v>
      </c>
      <c r="D31" s="63" t="s">
        <v>257</v>
      </c>
      <c r="E31" s="63">
        <v>1</v>
      </c>
      <c r="F31" s="63">
        <v>1</v>
      </c>
      <c r="G31" s="63">
        <v>1</v>
      </c>
      <c r="H31" s="63">
        <v>1</v>
      </c>
      <c r="I31" s="63">
        <v>2</v>
      </c>
      <c r="J31" s="63">
        <v>3</v>
      </c>
      <c r="K31" s="72" t="str">
        <f t="shared" si="0"/>
        <v>001.001.001.001.002.003</v>
      </c>
      <c r="L31" s="72">
        <f t="shared" si="1"/>
        <v>1</v>
      </c>
      <c r="M31" s="72">
        <f t="shared" si="2"/>
        <v>5</v>
      </c>
      <c r="N31" s="72" t="b">
        <f t="shared" si="3"/>
        <v>1</v>
      </c>
      <c r="O31" s="72" t="b">
        <f t="shared" si="4"/>
        <v>1</v>
      </c>
      <c r="P31" s="72" t="b">
        <f t="shared" si="5"/>
        <v>1</v>
      </c>
      <c r="Q31" s="72" t="b">
        <f t="shared" si="6"/>
        <v>0</v>
      </c>
      <c r="R31" s="72" t="str">
        <f t="shared" si="7"/>
        <v>1.1.1.1.2.T3</v>
      </c>
      <c r="Z31" s="63">
        <v>1</v>
      </c>
      <c r="AA31" s="63">
        <f>IF(AB31="完了",1,0)</f>
        <v>0</v>
      </c>
      <c r="AB31" s="63" t="s">
        <v>234</v>
      </c>
      <c r="AC31" s="63">
        <f>AM31/IF(AL31+AM31=0,1,AL31+AM31)</f>
        <v>0</v>
      </c>
      <c r="AD31" s="71"/>
      <c r="AE31" s="63">
        <v>1</v>
      </c>
      <c r="AF31" s="63" t="s">
        <v>234</v>
      </c>
      <c r="AG31" s="63" t="s">
        <v>234</v>
      </c>
      <c r="AH31" s="73"/>
      <c r="AI31" s="63"/>
      <c r="AJ31" s="63"/>
      <c r="AK31" s="63"/>
      <c r="AL31" s="63"/>
      <c r="AM31" s="63"/>
      <c r="AN31" s="63"/>
      <c r="AO31" s="63"/>
      <c r="AP31" s="63" t="s">
        <v>234</v>
      </c>
      <c r="AQ31" s="63" t="s">
        <v>234</v>
      </c>
    </row>
    <row r="32" spans="2:43" ht="18" customHeight="1">
      <c r="B32" s="63"/>
      <c r="C32" s="63" t="s">
        <v>257</v>
      </c>
      <c r="D32" s="63" t="s">
        <v>257</v>
      </c>
      <c r="E32" s="63">
        <v>1</v>
      </c>
      <c r="F32" s="63">
        <v>1</v>
      </c>
      <c r="G32" s="63">
        <v>1</v>
      </c>
      <c r="H32" s="63">
        <v>2</v>
      </c>
      <c r="I32" s="63"/>
      <c r="J32" s="63"/>
      <c r="K32" s="72" t="str">
        <f t="shared" si="0"/>
        <v>001.001.001.002.---.---</v>
      </c>
      <c r="L32" s="72">
        <f t="shared" si="1"/>
        <v>1</v>
      </c>
      <c r="M32" s="72">
        <f t="shared" si="2"/>
        <v>4</v>
      </c>
      <c r="N32" s="72" t="b">
        <f t="shared" si="3"/>
        <v>0</v>
      </c>
      <c r="O32" s="72" t="b">
        <f t="shared" si="4"/>
        <v>1</v>
      </c>
      <c r="P32" s="72" t="b">
        <f t="shared" si="5"/>
        <v>1</v>
      </c>
      <c r="Q32" s="72" t="b">
        <f t="shared" si="6"/>
        <v>1</v>
      </c>
      <c r="R32" s="72" t="str">
        <f t="shared" si="7"/>
        <v>1.1.1.2</v>
      </c>
      <c r="Z32" s="63">
        <f>SUM(_xlfn._xlws.FILTER(Z8:Z218,(E8:E218=E32)*(F8:F218=F32)*(G8:G218=G32)*(H8:H218=H32)*(ISNUMBER(I8:I218))*(N8:N218=FALSE)*(O8:O218=TRUE),0))+SUM(_xlfn._xlws.FILTER(Z8:Z218,(E8:E218=E32)*(F8:F218=F32)*(G8:G218=G32)*(H8:H218=H32)*(I8:I218="")*(N8:N218=TRUE)*(O8:O218=TRUE),0))</f>
        <v>9</v>
      </c>
      <c r="AA32" s="63">
        <f>SUM(_xlfn._xlws.FILTER(AA8:AA218,(E8:E218=E32)*(F8:F218=F32)*(G8:G218=G32)*(H8:H218=H32)*(ISNUMBER(I8:I218))*(N8:N218=FALSE)*(O8:O218=TRUE),0))+SUM(_xlfn._xlws.FILTER(AA8:AA218,(E8:E218=E32)*(F8:F218=F32)*(G8:G218=G32)*(H8:H218=H32)*(I8:I218="")*(N8:N218=TRUE)*(O8:O218=TRUE),0))</f>
        <v>1</v>
      </c>
      <c r="AB32" s="63" t="s">
        <v>234</v>
      </c>
      <c r="AC32" s="63">
        <f>(SUM(_xlfn._xlws.FILTER(AC8:AC218,(E8:E218=E32)*(F8:F218=F32)*(G8:G218=G32)*(H8:H218=H32)*(ISNUMBER(I8:I218))*(N8:N218=FALSE)*(O8:O218=TRUE),0))+SUM(_xlfn._xlws.FILTER(AC8:AC218,(E8:E218=E32)*(F8:F218=F32)*(G8:G218=G32)*(H8:H218=H32)*(I8:I218="")*(N8:N218=TRUE)*(O8:O218=TRUE),0)))/IF(IFERROR(COUNT(_xlfn._xlws.FILTER(AC8:AC218,(E8:E218=E32)*(F8:F218=F32)*(G8:G218=G32)*(H8:H218=H32)*(ISNUMBER(I8:I218))*(N8:N218=FALSE)*(O8:O218=TRUE))),0)+IFERROR(COUNT(_xlfn._xlws.FILTER(AC8:AC218,(E8:E218=E32)*(F8:F218=F32)*(G8:G218=G32)*(H8:H218=H32)*(I8:I218="")*(N8:N218=TRUE)*(O8:O218=TRUE))),0)=0,1,IFERROR(COUNT(_xlfn._xlws.FILTER(AC8:AC218,(E8:E218=E32)*(F8:F218=F32)*(G8:G218=G32)*(H8:H218=H32)*(ISNUMBER(I8:I218))*(N8:N218=FALSE)*(O8:O218=TRUE))),0)+IFERROR(COUNT(_xlfn._xlws.FILTER(AC8:AC218,(E8:E218=E32)*(F8:F218=F32)*(G8:G218=G32)*(H8:H218=H32)*(I8:I218="")*(N8:N218=TRUE)*(O8:O218=TRUE))),0))</f>
        <v>0</v>
      </c>
      <c r="AD32" s="71">
        <f>(SUM(_xlfn._xlws.FILTER(AD8:AD218*(AE8:AE218),(E8:E218=E32)*(F8:F218=F32)*(G8:G218=G32)*(H8:H218=H32)*(ISNUMBER(I8:I218))*(N8:N218=FALSE)*(O8:O218=TRUE),0))+SUM(_xlfn._xlws.FILTER(AD8:AD218*(AE8:AE218),(E8:E218=E32)*(F8:F218=F32)*(G8:G218=G32)*(H8:H218=H32)*(I8:I218="")*(N8:N218=TRUE)*(O8:O218=TRUE),0)))/IF(SUM(_xlfn._xlws.FILTER(AE8:AE218,(E8:E218=E32)*(F8:F218=F32)*(G8:G218=G32)*(H8:H218=H32)*(ISNUMBER(I8:I218))*(N8:N218=FALSE)*(O8:O218=TRUE),0))+SUM(_xlfn._xlws.FILTER(AE8:AE218,(E8:E218=E32)*(F8:F218=F32)*(G8:G218=G32)*(H8:H218=H32)*(I8:I218="")*(N8:N218=TRUE)*(O8:O218=TRUE),0))=0,1,SUM(_xlfn._xlws.FILTER(AE8:AE218,(E8:E218=E32)*(F8:F218=F32)*(G8:G218=G32)*(H8:H218=H32)*(ISNUMBER(I8:I218))*(N8:N218=FALSE)*(O8:O218=TRUE),0))+SUM(_xlfn._xlws.FILTER(AE8:AE218,(E8:E218=E32)*(F8:F218=F32)*(G8:G218=G32)*(H8:H218=H32)*(I8:I218="")*(N8:N218=TRUE)*(O8:O218=TRUE),0)))</f>
        <v>0</v>
      </c>
      <c r="AE32" s="63">
        <v>1</v>
      </c>
      <c r="AF32" s="63" t="s">
        <v>234</v>
      </c>
      <c r="AG32" s="63" t="s">
        <v>234</v>
      </c>
      <c r="AH32" s="73"/>
      <c r="AI32" s="63">
        <f>SUM(_xlfn._xlws.FILTER(AI8:AI218,(E8:E218=E32)*(F8:F218=F32)*(G8:G218=G32)*(H8:H218=H32)*(ISNUMBER(I8:I218))*(N8:N218=FALSE)*(O8:O218=TRUE),0))+SUM(_xlfn._xlws.FILTER(AI8:AI218,(E8:E218=E32)*(F8:F218=F32)*(G8:G218=G32)*(H8:H218=H32)*(I8:I218="")*(N8:N218=TRUE)*(O8:O218=TRUE),0))</f>
        <v>0</v>
      </c>
      <c r="AJ32" s="63"/>
      <c r="AK32" s="63"/>
      <c r="AL32" s="63">
        <f>SUM(_xlfn._xlws.FILTER(AL8:AL218,(E8:E218=E32)*(F8:F218=F32)*(G8:G218=G32)*(H8:H218=H32)*(ISNUMBER(I8:I218))*(N8:N218=FALSE)*(O8:O218=TRUE),0))+SUM(_xlfn._xlws.FILTER(AL8:AL218,(E8:E218=E32)*(F8:F218=F32)*(G8:G218=G32)*(H8:H218=H32)*(I8:I218="")*(N8:N218=TRUE)*(O8:O218=TRUE),0))</f>
        <v>0</v>
      </c>
      <c r="AM32" s="63">
        <f>SUM(_xlfn._xlws.FILTER(AM8:AM218,(E8:E218=E32)*(F8:F218=F32)*(G8:G218=G32)*(H8:H218=H32)*(ISNUMBER(I8:I218))*(N8:N218=FALSE)*(O8:O218=TRUE),0))+SUM(_xlfn._xlws.FILTER(AM8:AM218,(E8:E218=E32)*(F8:F218=F32)*(G8:G218=G32)*(H8:H218=H32)*(I8:I218="")*(N8:N218=TRUE)*(O8:O218=TRUE),0))</f>
        <v>0</v>
      </c>
      <c r="AN32" s="63"/>
      <c r="AO32" s="63"/>
      <c r="AP32" s="63" t="s">
        <v>234</v>
      </c>
      <c r="AQ32" s="63" t="s">
        <v>234</v>
      </c>
    </row>
    <row r="33" spans="2:43" ht="18" customHeight="1">
      <c r="B33" s="63"/>
      <c r="C33" s="63" t="s">
        <v>257</v>
      </c>
      <c r="D33" s="63" t="s">
        <v>257</v>
      </c>
      <c r="E33" s="63">
        <v>1</v>
      </c>
      <c r="F33" s="63">
        <v>1</v>
      </c>
      <c r="G33" s="63">
        <v>1</v>
      </c>
      <c r="H33" s="63">
        <v>2</v>
      </c>
      <c r="I33" s="63"/>
      <c r="J33" s="63">
        <v>1</v>
      </c>
      <c r="K33" s="72" t="str">
        <f t="shared" si="0"/>
        <v>001.001.001.002.---.001</v>
      </c>
      <c r="L33" s="72">
        <f t="shared" si="1"/>
        <v>1</v>
      </c>
      <c r="M33" s="72">
        <f t="shared" si="2"/>
        <v>4</v>
      </c>
      <c r="N33" s="72" t="b">
        <f t="shared" si="3"/>
        <v>1</v>
      </c>
      <c r="O33" s="72" t="b">
        <f t="shared" si="4"/>
        <v>1</v>
      </c>
      <c r="P33" s="72" t="b">
        <f t="shared" si="5"/>
        <v>1</v>
      </c>
      <c r="Q33" s="72" t="b">
        <f t="shared" si="6"/>
        <v>0</v>
      </c>
      <c r="R33" s="72" t="str">
        <f t="shared" si="7"/>
        <v>1.1.1.2.T1</v>
      </c>
      <c r="X33" s="60" t="s">
        <v>248</v>
      </c>
      <c r="Z33" s="63">
        <v>1</v>
      </c>
      <c r="AA33" s="63">
        <f>IF(AB33="完了",1,0)</f>
        <v>1</v>
      </c>
      <c r="AB33" s="63" t="s">
        <v>204</v>
      </c>
      <c r="AC33" s="63">
        <f>AM33/IF(AL33+AM33=0,1,AL33+AM33)</f>
        <v>0</v>
      </c>
      <c r="AD33" s="71"/>
      <c r="AE33" s="63">
        <v>1</v>
      </c>
      <c r="AF33" s="63" t="s">
        <v>234</v>
      </c>
      <c r="AG33" s="63" t="s">
        <v>234</v>
      </c>
      <c r="AH33" s="73"/>
      <c r="AI33" s="63"/>
      <c r="AJ33" s="63"/>
      <c r="AK33" s="63"/>
      <c r="AL33" s="63"/>
      <c r="AM33" s="63"/>
      <c r="AN33" s="63"/>
      <c r="AO33" s="63"/>
      <c r="AP33" s="63" t="s">
        <v>234</v>
      </c>
      <c r="AQ33" s="63" t="s">
        <v>234</v>
      </c>
    </row>
    <row r="34" spans="2:43" ht="18" customHeight="1">
      <c r="B34" s="63"/>
      <c r="C34" s="63" t="s">
        <v>257</v>
      </c>
      <c r="D34" s="63" t="s">
        <v>257</v>
      </c>
      <c r="E34" s="63">
        <v>1</v>
      </c>
      <c r="F34" s="63">
        <v>1</v>
      </c>
      <c r="G34" s="63">
        <v>1</v>
      </c>
      <c r="H34" s="63">
        <v>2</v>
      </c>
      <c r="I34" s="63"/>
      <c r="J34" s="63">
        <v>2</v>
      </c>
      <c r="K34" s="72" t="str">
        <f t="shared" si="0"/>
        <v>001.001.001.002.---.002</v>
      </c>
      <c r="L34" s="72">
        <f t="shared" si="1"/>
        <v>1</v>
      </c>
      <c r="M34" s="72">
        <f t="shared" si="2"/>
        <v>4</v>
      </c>
      <c r="N34" s="72" t="b">
        <f t="shared" si="3"/>
        <v>1</v>
      </c>
      <c r="O34" s="72" t="b">
        <f t="shared" si="4"/>
        <v>1</v>
      </c>
      <c r="P34" s="72" t="b">
        <f t="shared" si="5"/>
        <v>1</v>
      </c>
      <c r="Q34" s="72" t="b">
        <f t="shared" si="6"/>
        <v>0</v>
      </c>
      <c r="R34" s="72" t="str">
        <f t="shared" si="7"/>
        <v>1.1.1.2.T2</v>
      </c>
      <c r="X34" s="60" t="s">
        <v>249</v>
      </c>
      <c r="Z34" s="63">
        <v>1</v>
      </c>
      <c r="AA34" s="63">
        <f>IF(AB34="完了",1,0)</f>
        <v>0</v>
      </c>
      <c r="AB34" s="63" t="s">
        <v>250</v>
      </c>
      <c r="AC34" s="63">
        <f>AM34/IF(AL34+AM34=0,1,AL34+AM34)</f>
        <v>0</v>
      </c>
      <c r="AD34" s="71"/>
      <c r="AE34" s="63">
        <v>1</v>
      </c>
      <c r="AF34" s="63" t="s">
        <v>234</v>
      </c>
      <c r="AG34" s="63" t="s">
        <v>234</v>
      </c>
      <c r="AH34" s="73"/>
      <c r="AI34" s="63"/>
      <c r="AJ34" s="63"/>
      <c r="AK34" s="63"/>
      <c r="AL34" s="63"/>
      <c r="AM34" s="63"/>
      <c r="AN34" s="63"/>
      <c r="AO34" s="63"/>
      <c r="AP34" s="63" t="s">
        <v>234</v>
      </c>
      <c r="AQ34" s="63" t="s">
        <v>234</v>
      </c>
    </row>
    <row r="35" spans="2:43" ht="18" customHeight="1">
      <c r="B35" s="63"/>
      <c r="C35" s="63" t="s">
        <v>257</v>
      </c>
      <c r="D35" s="63" t="s">
        <v>257</v>
      </c>
      <c r="E35" s="63">
        <v>1</v>
      </c>
      <c r="F35" s="63">
        <v>1</v>
      </c>
      <c r="G35" s="63">
        <v>1</v>
      </c>
      <c r="H35" s="63">
        <v>2</v>
      </c>
      <c r="I35" s="63"/>
      <c r="J35" s="63">
        <v>3</v>
      </c>
      <c r="K35" s="72" t="str">
        <f t="shared" si="0"/>
        <v>001.001.001.002.---.003</v>
      </c>
      <c r="L35" s="72">
        <f t="shared" si="1"/>
        <v>1</v>
      </c>
      <c r="M35" s="72">
        <f t="shared" si="2"/>
        <v>4</v>
      </c>
      <c r="N35" s="72" t="b">
        <f t="shared" si="3"/>
        <v>1</v>
      </c>
      <c r="O35" s="72" t="b">
        <f t="shared" si="4"/>
        <v>1</v>
      </c>
      <c r="P35" s="72" t="b">
        <f t="shared" si="5"/>
        <v>1</v>
      </c>
      <c r="Q35" s="72" t="b">
        <f t="shared" si="6"/>
        <v>0</v>
      </c>
      <c r="R35" s="72" t="str">
        <f t="shared" si="7"/>
        <v>1.1.1.2.T3</v>
      </c>
      <c r="X35" s="60" t="s">
        <v>251</v>
      </c>
      <c r="Z35" s="63">
        <v>1</v>
      </c>
      <c r="AA35" s="63">
        <f>IF(AB35="完了",1,0)</f>
        <v>0</v>
      </c>
      <c r="AB35" s="63" t="s">
        <v>234</v>
      </c>
      <c r="AC35" s="63">
        <f>AM35/IF(AL35+AM35=0,1,AL35+AM35)</f>
        <v>0</v>
      </c>
      <c r="AD35" s="71"/>
      <c r="AE35" s="63">
        <v>1</v>
      </c>
      <c r="AF35" s="63" t="s">
        <v>234</v>
      </c>
      <c r="AG35" s="63" t="s">
        <v>234</v>
      </c>
      <c r="AH35" s="73"/>
      <c r="AI35" s="63"/>
      <c r="AJ35" s="63"/>
      <c r="AK35" s="63"/>
      <c r="AL35" s="63"/>
      <c r="AM35" s="63"/>
      <c r="AN35" s="63"/>
      <c r="AO35" s="63"/>
      <c r="AP35" s="63" t="s">
        <v>234</v>
      </c>
      <c r="AQ35" s="63" t="s">
        <v>234</v>
      </c>
    </row>
    <row r="36" spans="2:43" ht="18" customHeight="1">
      <c r="B36" s="63"/>
      <c r="C36" s="63" t="s">
        <v>257</v>
      </c>
      <c r="D36" s="63" t="s">
        <v>257</v>
      </c>
      <c r="E36" s="63">
        <v>1</v>
      </c>
      <c r="F36" s="63">
        <v>1</v>
      </c>
      <c r="G36" s="63">
        <v>1</v>
      </c>
      <c r="H36" s="63">
        <v>2</v>
      </c>
      <c r="I36" s="63">
        <v>1</v>
      </c>
      <c r="J36" s="63"/>
      <c r="K36" s="72" t="str">
        <f t="shared" si="0"/>
        <v>001.001.001.002.001.---</v>
      </c>
      <c r="L36" s="72">
        <f t="shared" si="1"/>
        <v>1</v>
      </c>
      <c r="M36" s="72">
        <f t="shared" si="2"/>
        <v>5</v>
      </c>
      <c r="N36" s="72" t="b">
        <f t="shared" si="3"/>
        <v>0</v>
      </c>
      <c r="O36" s="72" t="b">
        <f t="shared" si="4"/>
        <v>1</v>
      </c>
      <c r="P36" s="72" t="b">
        <f t="shared" si="5"/>
        <v>1</v>
      </c>
      <c r="Q36" s="72" t="b">
        <f t="shared" si="6"/>
        <v>1</v>
      </c>
      <c r="R36" s="72" t="str">
        <f t="shared" si="7"/>
        <v>1.1.1.2.1</v>
      </c>
      <c r="W36" s="60" t="s">
        <v>252</v>
      </c>
      <c r="Z36" s="63">
        <f>SUM(_xlfn._xlws.FILTER(Z8:Z218,(E8:E218=E36)*(F8:F218=F36)*(G8:G218=G36)*(H8:H218=H36)*(I8:I218=I36)*(N8:N218=TRUE)*(O8:O218=TRUE),0))</f>
        <v>3</v>
      </c>
      <c r="AA36" s="63">
        <f>SUM(_xlfn._xlws.FILTER(AA8:AA218,(E8:E218=E36)*(F8:F218=F36)*(G8:G218=G36)*(H8:H218=H36)*(I8:I218=I36)*(N8:N218=TRUE)*(O8:O218=TRUE),0))</f>
        <v>0</v>
      </c>
      <c r="AB36" s="63" t="s">
        <v>234</v>
      </c>
      <c r="AC36" s="63">
        <f>SUM(_xlfn._xlws.FILTER(AC8:AC218,(E8:E218=E36)*(F8:F218=F36)*(G8:G218=G36)*(H8:H218=H36)*(I8:I218=I36)*(N8:N218=TRUE)*(O8:O218=TRUE),0))/IF(IFERROR(COUNT(_xlfn._xlws.FILTER(AC8:AC218,(E8:E218=E36)*(F8:F218=F36)*(G8:G218=G36)*(H8:H218=H36)*(I8:I218=I36)*(N8:N218=TRUE)*(O8:O218=TRUE))),0)=0,1,IFERROR(COUNT(_xlfn._xlws.FILTER(AC8:AC218,(E8:E218=E36)*(F8:F218=F36)*(G8:G218=G36)*(H8:H218=H36)*(I8:I218=I36)*(N8:N218=TRUE)*(O8:O218=TRUE))),0))</f>
        <v>0</v>
      </c>
      <c r="AD36" s="71">
        <f>SUM(_xlfn._xlws.FILTER(AD8:AD218*(AE8:AE218),(E8:E218=E36)*(F8:F218=F36)*(G8:G218=G36)*(H8:H218=H36)*(I8:I218=I36)*(N8:N218=TRUE)*(O8:O218=TRUE),0))/IF(SUM(_xlfn._xlws.FILTER(AE8:AE218,(E8:E218=E36)*(F8:F218=F36)*(G8:G218=G36)*(H8:H218=H36)*(I8:I218=I36)*(N8:N218=TRUE)*(O8:O218=TRUE),0))=0,1,SUM(_xlfn._xlws.FILTER(AE8:AE218,(E8:E218=E36)*(F8:F218=F36)*(G8:G218=G36)*(H8:H218=H36)*(I8:I218=I36)*(N8:N218=TRUE)*(O8:O218=TRUE),0)))</f>
        <v>0</v>
      </c>
      <c r="AE36" s="63">
        <v>1</v>
      </c>
      <c r="AF36" s="63" t="s">
        <v>234</v>
      </c>
      <c r="AG36" s="63" t="s">
        <v>234</v>
      </c>
      <c r="AH36" s="73"/>
      <c r="AI36" s="63">
        <f>SUM(_xlfn._xlws.FILTER(AI8:AI218,(E8:E218=E36)*(F8:F218=F36)*(G8:G218=G36)*(H8:H218=H36)*(I8:I218=I36)*(N8:N218=TRUE)*(O8:O218=TRUE),0))</f>
        <v>0</v>
      </c>
      <c r="AJ36" s="63"/>
      <c r="AK36" s="63"/>
      <c r="AL36" s="63">
        <f>SUM(_xlfn._xlws.FILTER(AL8:AL218,(E8:E218=E36)*(F8:F218=F36)*(G8:G218=G36)*(H8:H218=H36)*(I8:I218=I36)*(N8:N218=TRUE)*(O8:O218=TRUE),0))</f>
        <v>0</v>
      </c>
      <c r="AM36" s="63">
        <f>SUM(_xlfn._xlws.FILTER(AM8:AM218,(E8:E218=E36)*(F8:F218=F36)*(G8:G218=G36)*(H8:H218=H36)*(I8:I218=I36)*(N8:N218=TRUE)*(O8:O218=TRUE),0))</f>
        <v>0</v>
      </c>
      <c r="AN36" s="63"/>
      <c r="AO36" s="63"/>
      <c r="AP36" s="63" t="s">
        <v>234</v>
      </c>
      <c r="AQ36" s="63" t="s">
        <v>234</v>
      </c>
    </row>
    <row r="37" spans="2:43" ht="18" customHeight="1">
      <c r="B37" s="63"/>
      <c r="C37" s="63" t="s">
        <v>257</v>
      </c>
      <c r="D37" s="63" t="s">
        <v>257</v>
      </c>
      <c r="E37" s="63">
        <v>1</v>
      </c>
      <c r="F37" s="63">
        <v>1</v>
      </c>
      <c r="G37" s="63">
        <v>1</v>
      </c>
      <c r="H37" s="63">
        <v>2</v>
      </c>
      <c r="I37" s="63">
        <v>1</v>
      </c>
      <c r="J37" s="63">
        <v>1</v>
      </c>
      <c r="K37" s="72" t="str">
        <f t="shared" si="0"/>
        <v>001.001.001.002.001.001</v>
      </c>
      <c r="L37" s="72">
        <f t="shared" si="1"/>
        <v>1</v>
      </c>
      <c r="M37" s="72">
        <f t="shared" si="2"/>
        <v>5</v>
      </c>
      <c r="N37" s="72" t="b">
        <f t="shared" si="3"/>
        <v>1</v>
      </c>
      <c r="O37" s="72" t="b">
        <f t="shared" si="4"/>
        <v>1</v>
      </c>
      <c r="P37" s="72" t="b">
        <f t="shared" si="5"/>
        <v>1</v>
      </c>
      <c r="Q37" s="72" t="b">
        <f t="shared" si="6"/>
        <v>0</v>
      </c>
      <c r="R37" s="72" t="str">
        <f t="shared" si="7"/>
        <v>1.1.1.2.1.T1</v>
      </c>
      <c r="X37" s="60" t="s">
        <v>253</v>
      </c>
      <c r="Z37" s="63">
        <v>1</v>
      </c>
      <c r="AA37" s="63">
        <f>IF(AB37="完了",1,0)</f>
        <v>0</v>
      </c>
      <c r="AB37" s="63" t="s">
        <v>234</v>
      </c>
      <c r="AC37" s="63">
        <f>AM37/IF(AL37+AM37=0,1,AL37+AM37)</f>
        <v>0</v>
      </c>
      <c r="AD37" s="71"/>
      <c r="AE37" s="63">
        <v>1</v>
      </c>
      <c r="AF37" s="63" t="s">
        <v>234</v>
      </c>
      <c r="AG37" s="63" t="s">
        <v>234</v>
      </c>
      <c r="AH37" s="73"/>
      <c r="AI37" s="63"/>
      <c r="AJ37" s="63"/>
      <c r="AK37" s="63"/>
      <c r="AL37" s="63"/>
      <c r="AM37" s="63"/>
      <c r="AN37" s="63"/>
      <c r="AO37" s="63"/>
      <c r="AP37" s="63" t="s">
        <v>234</v>
      </c>
      <c r="AQ37" s="63" t="s">
        <v>234</v>
      </c>
    </row>
    <row r="38" spans="2:43" ht="18" customHeight="1">
      <c r="B38" s="63"/>
      <c r="C38" s="63" t="s">
        <v>257</v>
      </c>
      <c r="D38" s="63" t="s">
        <v>257</v>
      </c>
      <c r="E38" s="63">
        <v>1</v>
      </c>
      <c r="F38" s="63">
        <v>1</v>
      </c>
      <c r="G38" s="63">
        <v>1</v>
      </c>
      <c r="H38" s="63">
        <v>2</v>
      </c>
      <c r="I38" s="63">
        <v>1</v>
      </c>
      <c r="J38" s="63">
        <v>2</v>
      </c>
      <c r="K38" s="72" t="str">
        <f t="shared" si="0"/>
        <v>001.001.001.002.001.002</v>
      </c>
      <c r="L38" s="72">
        <f t="shared" si="1"/>
        <v>1</v>
      </c>
      <c r="M38" s="72">
        <f t="shared" si="2"/>
        <v>5</v>
      </c>
      <c r="N38" s="72" t="b">
        <f t="shared" si="3"/>
        <v>1</v>
      </c>
      <c r="O38" s="72" t="b">
        <f t="shared" si="4"/>
        <v>1</v>
      </c>
      <c r="P38" s="72" t="b">
        <f t="shared" si="5"/>
        <v>1</v>
      </c>
      <c r="Q38" s="72" t="b">
        <f t="shared" si="6"/>
        <v>0</v>
      </c>
      <c r="R38" s="72" t="str">
        <f t="shared" si="7"/>
        <v>1.1.1.2.1.T2</v>
      </c>
      <c r="X38" s="60" t="s">
        <v>254</v>
      </c>
      <c r="Z38" s="63">
        <v>1</v>
      </c>
      <c r="AA38" s="63">
        <f>IF(AB38="完了",1,0)</f>
        <v>0</v>
      </c>
      <c r="AB38" s="63" t="s">
        <v>234</v>
      </c>
      <c r="AC38" s="63">
        <f>AM38/IF(AL38+AM38=0,1,AL38+AM38)</f>
        <v>0</v>
      </c>
      <c r="AD38" s="71"/>
      <c r="AE38" s="63">
        <v>1</v>
      </c>
      <c r="AF38" s="63" t="s">
        <v>234</v>
      </c>
      <c r="AG38" s="63" t="s">
        <v>234</v>
      </c>
      <c r="AH38" s="73"/>
      <c r="AI38" s="63"/>
      <c r="AJ38" s="63"/>
      <c r="AK38" s="63"/>
      <c r="AL38" s="63"/>
      <c r="AM38" s="63"/>
      <c r="AN38" s="63"/>
      <c r="AO38" s="63"/>
      <c r="AP38" s="63" t="s">
        <v>234</v>
      </c>
      <c r="AQ38" s="63" t="s">
        <v>234</v>
      </c>
    </row>
    <row r="39" spans="2:43" ht="18" customHeight="1">
      <c r="B39" s="63"/>
      <c r="C39" s="63" t="s">
        <v>257</v>
      </c>
      <c r="D39" s="63" t="s">
        <v>257</v>
      </c>
      <c r="E39" s="63">
        <v>1</v>
      </c>
      <c r="F39" s="63">
        <v>1</v>
      </c>
      <c r="G39" s="63">
        <v>1</v>
      </c>
      <c r="H39" s="63">
        <v>2</v>
      </c>
      <c r="I39" s="63">
        <v>1</v>
      </c>
      <c r="J39" s="63">
        <v>3</v>
      </c>
      <c r="K39" s="72" t="str">
        <f t="shared" si="0"/>
        <v>001.001.001.002.001.003</v>
      </c>
      <c r="L39" s="72">
        <f t="shared" si="1"/>
        <v>1</v>
      </c>
      <c r="M39" s="72">
        <f t="shared" si="2"/>
        <v>5</v>
      </c>
      <c r="N39" s="72" t="b">
        <f t="shared" si="3"/>
        <v>1</v>
      </c>
      <c r="O39" s="72" t="b">
        <f t="shared" si="4"/>
        <v>1</v>
      </c>
      <c r="P39" s="72" t="b">
        <f t="shared" si="5"/>
        <v>1</v>
      </c>
      <c r="Q39" s="72" t="b">
        <f t="shared" si="6"/>
        <v>0</v>
      </c>
      <c r="R39" s="72" t="str">
        <f t="shared" si="7"/>
        <v>1.1.1.2.1.T3</v>
      </c>
      <c r="Z39" s="63">
        <v>1</v>
      </c>
      <c r="AA39" s="63">
        <f>IF(AB39="完了",1,0)</f>
        <v>0</v>
      </c>
      <c r="AB39" s="63" t="s">
        <v>234</v>
      </c>
      <c r="AC39" s="63">
        <f>AM39/IF(AL39+AM39=0,1,AL39+AM39)</f>
        <v>0</v>
      </c>
      <c r="AD39" s="71"/>
      <c r="AE39" s="63">
        <v>1</v>
      </c>
      <c r="AF39" s="63" t="s">
        <v>234</v>
      </c>
      <c r="AG39" s="63" t="s">
        <v>234</v>
      </c>
      <c r="AH39" s="73"/>
      <c r="AI39" s="63"/>
      <c r="AJ39" s="63"/>
      <c r="AK39" s="63"/>
      <c r="AL39" s="63"/>
      <c r="AM39" s="63"/>
      <c r="AN39" s="63"/>
      <c r="AO39" s="63"/>
      <c r="AP39" s="63" t="s">
        <v>234</v>
      </c>
      <c r="AQ39" s="63" t="s">
        <v>234</v>
      </c>
    </row>
    <row r="40" spans="2:43" ht="18" customHeight="1">
      <c r="B40" s="63"/>
      <c r="C40" s="63" t="s">
        <v>257</v>
      </c>
      <c r="D40" s="63" t="s">
        <v>257</v>
      </c>
      <c r="E40" s="63">
        <v>1</v>
      </c>
      <c r="F40" s="63">
        <v>1</v>
      </c>
      <c r="G40" s="63">
        <v>1</v>
      </c>
      <c r="H40" s="63">
        <v>2</v>
      </c>
      <c r="I40" s="63">
        <v>2</v>
      </c>
      <c r="J40" s="63"/>
      <c r="K40" s="72" t="str">
        <f t="shared" si="0"/>
        <v>001.001.001.002.002.---</v>
      </c>
      <c r="L40" s="72">
        <f t="shared" si="1"/>
        <v>1</v>
      </c>
      <c r="M40" s="72">
        <f t="shared" si="2"/>
        <v>5</v>
      </c>
      <c r="N40" s="72" t="b">
        <f t="shared" si="3"/>
        <v>0</v>
      </c>
      <c r="O40" s="72" t="b">
        <f t="shared" si="4"/>
        <v>1</v>
      </c>
      <c r="P40" s="72" t="b">
        <f t="shared" si="5"/>
        <v>1</v>
      </c>
      <c r="Q40" s="72" t="b">
        <f t="shared" si="6"/>
        <v>1</v>
      </c>
      <c r="R40" s="72" t="str">
        <f t="shared" si="7"/>
        <v>1.1.1.2.2</v>
      </c>
      <c r="Z40" s="63">
        <f>SUM(_xlfn._xlws.FILTER(Z8:Z218,(E8:E218=E40)*(F8:F218=F40)*(G8:G218=G40)*(H8:H218=H40)*(I8:I218=I40)*(N8:N218=TRUE)*(O8:O218=TRUE),0))</f>
        <v>3</v>
      </c>
      <c r="AA40" s="63">
        <f>SUM(_xlfn._xlws.FILTER(AA8:AA218,(E8:E218=E40)*(F8:F218=F40)*(G8:G218=G40)*(H8:H218=H40)*(I8:I218=I40)*(N8:N218=TRUE)*(O8:O218=TRUE),0))</f>
        <v>0</v>
      </c>
      <c r="AB40" s="63" t="s">
        <v>234</v>
      </c>
      <c r="AC40" s="63">
        <f>SUM(_xlfn._xlws.FILTER(AC8:AC218,(E8:E218=E40)*(F8:F218=F40)*(G8:G218=G40)*(H8:H218=H40)*(I8:I218=I40)*(N8:N218=TRUE)*(O8:O218=TRUE),0))/IF(IFERROR(COUNT(_xlfn._xlws.FILTER(AC8:AC218,(E8:E218=E40)*(F8:F218=F40)*(G8:G218=G40)*(H8:H218=H40)*(I8:I218=I40)*(N8:N218=TRUE)*(O8:O218=TRUE))),0)=0,1,IFERROR(COUNT(_xlfn._xlws.FILTER(AC8:AC218,(E8:E218=E40)*(F8:F218=F40)*(G8:G218=G40)*(H8:H218=H40)*(I8:I218=I40)*(N8:N218=TRUE)*(O8:O218=TRUE))),0))</f>
        <v>0</v>
      </c>
      <c r="AD40" s="71">
        <f>SUM(_xlfn._xlws.FILTER(AD8:AD218*(AE8:AE218),(E8:E218=E40)*(F8:F218=F40)*(G8:G218=G40)*(H8:H218=H40)*(I8:I218=I40)*(N8:N218=TRUE)*(O8:O218=TRUE),0))/IF(SUM(_xlfn._xlws.FILTER(AE8:AE218,(E8:E218=E40)*(F8:F218=F40)*(G8:G218=G40)*(H8:H218=H40)*(I8:I218=I40)*(N8:N218=TRUE)*(O8:O218=TRUE),0))=0,1,SUM(_xlfn._xlws.FILTER(AE8:AE218,(E8:E218=E40)*(F8:F218=F40)*(G8:G218=G40)*(H8:H218=H40)*(I8:I218=I40)*(N8:N218=TRUE)*(O8:O218=TRUE),0)))</f>
        <v>0</v>
      </c>
      <c r="AE40" s="63">
        <v>1</v>
      </c>
      <c r="AF40" s="63" t="s">
        <v>234</v>
      </c>
      <c r="AG40" s="63" t="s">
        <v>234</v>
      </c>
      <c r="AH40" s="73"/>
      <c r="AI40" s="63">
        <f>SUM(_xlfn._xlws.FILTER(AI8:AI218,(E8:E218=E40)*(F8:F218=F40)*(G8:G218=G40)*(H8:H218=H40)*(I8:I218=I40)*(N8:N218=TRUE)*(O8:O218=TRUE),0))</f>
        <v>0</v>
      </c>
      <c r="AJ40" s="63"/>
      <c r="AK40" s="63"/>
      <c r="AL40" s="63">
        <f>SUM(_xlfn._xlws.FILTER(AL8:AL218,(E8:E218=E40)*(F8:F218=F40)*(G8:G218=G40)*(H8:H218=H40)*(I8:I218=I40)*(N8:N218=TRUE)*(O8:O218=TRUE),0))</f>
        <v>0</v>
      </c>
      <c r="AM40" s="63">
        <f>SUM(_xlfn._xlws.FILTER(AM8:AM218,(E8:E218=E40)*(F8:F218=F40)*(G8:G218=G40)*(H8:H218=H40)*(I8:I218=I40)*(N8:N218=TRUE)*(O8:O218=TRUE),0))</f>
        <v>0</v>
      </c>
      <c r="AN40" s="63"/>
      <c r="AO40" s="63"/>
      <c r="AP40" s="63" t="s">
        <v>234</v>
      </c>
      <c r="AQ40" s="63" t="s">
        <v>234</v>
      </c>
    </row>
    <row r="41" spans="2:43" ht="18" customHeight="1">
      <c r="B41" s="63"/>
      <c r="C41" s="63" t="s">
        <v>257</v>
      </c>
      <c r="D41" s="63" t="s">
        <v>257</v>
      </c>
      <c r="E41" s="63">
        <v>1</v>
      </c>
      <c r="F41" s="63">
        <v>1</v>
      </c>
      <c r="G41" s="63">
        <v>1</v>
      </c>
      <c r="H41" s="63">
        <v>2</v>
      </c>
      <c r="I41" s="63">
        <v>2</v>
      </c>
      <c r="J41" s="63">
        <v>1</v>
      </c>
      <c r="K41" s="72" t="str">
        <f t="shared" si="0"/>
        <v>001.001.001.002.002.001</v>
      </c>
      <c r="L41" s="72">
        <f t="shared" si="1"/>
        <v>1</v>
      </c>
      <c r="M41" s="72">
        <f t="shared" si="2"/>
        <v>5</v>
      </c>
      <c r="N41" s="72" t="b">
        <f t="shared" si="3"/>
        <v>1</v>
      </c>
      <c r="O41" s="72" t="b">
        <f t="shared" si="4"/>
        <v>1</v>
      </c>
      <c r="P41" s="72" t="b">
        <f t="shared" si="5"/>
        <v>1</v>
      </c>
      <c r="Q41" s="72" t="b">
        <f t="shared" si="6"/>
        <v>0</v>
      </c>
      <c r="R41" s="72" t="str">
        <f t="shared" si="7"/>
        <v>1.1.1.2.2.T1</v>
      </c>
      <c r="X41" s="60" t="s">
        <v>253</v>
      </c>
      <c r="Z41" s="63">
        <v>1</v>
      </c>
      <c r="AA41" s="63">
        <f>IF(AB41="完了",1,0)</f>
        <v>0</v>
      </c>
      <c r="AB41" s="63" t="s">
        <v>234</v>
      </c>
      <c r="AC41" s="63">
        <f>AM41/IF(AL41+AM41=0,1,AL41+AM41)</f>
        <v>0</v>
      </c>
      <c r="AD41" s="71"/>
      <c r="AE41" s="63">
        <v>1</v>
      </c>
      <c r="AF41" s="63" t="s">
        <v>234</v>
      </c>
      <c r="AG41" s="63" t="s">
        <v>234</v>
      </c>
      <c r="AH41" s="73"/>
      <c r="AI41" s="63"/>
      <c r="AJ41" s="63"/>
      <c r="AK41" s="63"/>
      <c r="AL41" s="63"/>
      <c r="AM41" s="63"/>
      <c r="AN41" s="63"/>
      <c r="AO41" s="63"/>
      <c r="AP41" s="63" t="s">
        <v>234</v>
      </c>
      <c r="AQ41" s="63" t="s">
        <v>234</v>
      </c>
    </row>
    <row r="42" spans="2:43" ht="18" customHeight="1">
      <c r="B42" s="63"/>
      <c r="C42" s="63" t="s">
        <v>257</v>
      </c>
      <c r="D42" s="63" t="s">
        <v>257</v>
      </c>
      <c r="E42" s="63">
        <v>1</v>
      </c>
      <c r="F42" s="63">
        <v>1</v>
      </c>
      <c r="G42" s="63">
        <v>1</v>
      </c>
      <c r="H42" s="63">
        <v>2</v>
      </c>
      <c r="I42" s="63">
        <v>2</v>
      </c>
      <c r="J42" s="63">
        <v>2</v>
      </c>
      <c r="K42" s="72" t="str">
        <f t="shared" si="0"/>
        <v>001.001.001.002.002.002</v>
      </c>
      <c r="L42" s="72">
        <f t="shared" si="1"/>
        <v>1</v>
      </c>
      <c r="M42" s="72">
        <f t="shared" si="2"/>
        <v>5</v>
      </c>
      <c r="N42" s="72" t="b">
        <f t="shared" si="3"/>
        <v>1</v>
      </c>
      <c r="O42" s="72" t="b">
        <f t="shared" si="4"/>
        <v>1</v>
      </c>
      <c r="P42" s="72" t="b">
        <f t="shared" si="5"/>
        <v>1</v>
      </c>
      <c r="Q42" s="72" t="b">
        <f t="shared" si="6"/>
        <v>0</v>
      </c>
      <c r="R42" s="72" t="str">
        <f t="shared" si="7"/>
        <v>1.1.1.2.2.T2</v>
      </c>
      <c r="X42" s="60" t="s">
        <v>254</v>
      </c>
      <c r="Z42" s="63">
        <v>1</v>
      </c>
      <c r="AA42" s="63">
        <f>IF(AB42="完了",1,0)</f>
        <v>0</v>
      </c>
      <c r="AB42" s="63" t="s">
        <v>234</v>
      </c>
      <c r="AC42" s="63">
        <f>AM42/IF(AL42+AM42=0,1,AL42+AM42)</f>
        <v>0</v>
      </c>
      <c r="AD42" s="71"/>
      <c r="AE42" s="63">
        <v>1</v>
      </c>
      <c r="AF42" s="63" t="s">
        <v>234</v>
      </c>
      <c r="AG42" s="63" t="s">
        <v>234</v>
      </c>
      <c r="AH42" s="73"/>
      <c r="AI42" s="63"/>
      <c r="AJ42" s="63"/>
      <c r="AK42" s="63"/>
      <c r="AL42" s="63"/>
      <c r="AM42" s="63"/>
      <c r="AN42" s="63"/>
      <c r="AO42" s="63"/>
      <c r="AP42" s="63" t="s">
        <v>234</v>
      </c>
      <c r="AQ42" s="63" t="s">
        <v>234</v>
      </c>
    </row>
    <row r="43" spans="2:43" ht="18" customHeight="1">
      <c r="B43" s="63"/>
      <c r="C43" s="63" t="s">
        <v>257</v>
      </c>
      <c r="D43" s="63" t="s">
        <v>257</v>
      </c>
      <c r="E43" s="63">
        <v>1</v>
      </c>
      <c r="F43" s="63">
        <v>1</v>
      </c>
      <c r="G43" s="63">
        <v>1</v>
      </c>
      <c r="H43" s="63">
        <v>2</v>
      </c>
      <c r="I43" s="63">
        <v>2</v>
      </c>
      <c r="J43" s="63">
        <v>3</v>
      </c>
      <c r="K43" s="72" t="str">
        <f t="shared" si="0"/>
        <v>001.001.001.002.002.003</v>
      </c>
      <c r="L43" s="72">
        <f t="shared" si="1"/>
        <v>1</v>
      </c>
      <c r="M43" s="72">
        <f t="shared" si="2"/>
        <v>5</v>
      </c>
      <c r="N43" s="72" t="b">
        <f t="shared" si="3"/>
        <v>1</v>
      </c>
      <c r="O43" s="72" t="b">
        <f t="shared" si="4"/>
        <v>1</v>
      </c>
      <c r="P43" s="72" t="b">
        <f t="shared" si="5"/>
        <v>1</v>
      </c>
      <c r="Q43" s="72" t="b">
        <f t="shared" si="6"/>
        <v>0</v>
      </c>
      <c r="R43" s="72" t="str">
        <f t="shared" si="7"/>
        <v>1.1.1.2.2.T3</v>
      </c>
      <c r="Z43" s="63">
        <v>1</v>
      </c>
      <c r="AA43" s="63">
        <f>IF(AB43="完了",1,0)</f>
        <v>0</v>
      </c>
      <c r="AB43" s="63" t="s">
        <v>234</v>
      </c>
      <c r="AC43" s="63">
        <f>AM43/IF(AL43+AM43=0,1,AL43+AM43)</f>
        <v>0</v>
      </c>
      <c r="AD43" s="71"/>
      <c r="AE43" s="63">
        <v>1</v>
      </c>
      <c r="AF43" s="63" t="s">
        <v>234</v>
      </c>
      <c r="AG43" s="63" t="s">
        <v>234</v>
      </c>
      <c r="AH43" s="73"/>
      <c r="AI43" s="63"/>
      <c r="AJ43" s="63"/>
      <c r="AK43" s="63"/>
      <c r="AL43" s="63"/>
      <c r="AM43" s="63"/>
      <c r="AN43" s="63"/>
      <c r="AO43" s="63"/>
      <c r="AP43" s="63" t="s">
        <v>234</v>
      </c>
      <c r="AQ43" s="63" t="s">
        <v>234</v>
      </c>
    </row>
    <row r="44" spans="2:43" ht="18" customHeight="1">
      <c r="B44" s="63"/>
      <c r="C44" s="63" t="s">
        <v>257</v>
      </c>
      <c r="D44" s="63" t="s">
        <v>257</v>
      </c>
      <c r="E44" s="63">
        <v>1</v>
      </c>
      <c r="F44" s="63">
        <v>1</v>
      </c>
      <c r="G44" s="63">
        <v>2</v>
      </c>
      <c r="H44" s="63"/>
      <c r="I44" s="63"/>
      <c r="J44" s="63"/>
      <c r="K44" s="72" t="str">
        <f t="shared" si="0"/>
        <v>001.001.002.---.---.---</v>
      </c>
      <c r="L44" s="72">
        <f t="shared" si="1"/>
        <v>1</v>
      </c>
      <c r="M44" s="72">
        <f t="shared" si="2"/>
        <v>3</v>
      </c>
      <c r="N44" s="72" t="b">
        <f t="shared" si="3"/>
        <v>0</v>
      </c>
      <c r="O44" s="72" t="b">
        <f t="shared" si="4"/>
        <v>1</v>
      </c>
      <c r="P44" s="72" t="b">
        <f t="shared" si="5"/>
        <v>1</v>
      </c>
      <c r="Q44" s="72" t="b">
        <f t="shared" si="6"/>
        <v>1</v>
      </c>
      <c r="R44" s="72" t="str">
        <f t="shared" si="7"/>
        <v>1.1.2</v>
      </c>
      <c r="Z44" s="63">
        <f>SUM(_xlfn._xlws.FILTER(Z8:Z218,(E8:E218=E44)*(F8:F218=F44)*(G8:G218=G44)*(ISNUMBER(H8:H218))*(I8:I218="")*(N8:N218=FALSE)*(O8:O218=TRUE),0))+SUM(_xlfn._xlws.FILTER(Z8:Z218,(E8:E218=E44)*(F8:F218=F44)*(G8:G218=G44)*(H8:H218="")*(I8:I218="")*(N8:N218=TRUE)*(O8:O218=TRUE),0))</f>
        <v>20</v>
      </c>
      <c r="AA44" s="63">
        <f>SUM(_xlfn._xlws.FILTER(AA8:AA218,(E8:E218=E44)*(F8:F218=F44)*(G8:G218=G44)*(ISNUMBER(H8:H218))*(I8:I218="")*(N8:N218=FALSE)*(O8:O218=TRUE),0))+SUM(_xlfn._xlws.FILTER(AA8:AA218,(E8:E218=E44)*(F8:F218=F44)*(G8:G218=G44)*(H8:H218="")*(I8:I218="")*(N8:N218=TRUE)*(O8:O218=TRUE),0))</f>
        <v>2</v>
      </c>
      <c r="AB44" s="63" t="s">
        <v>234</v>
      </c>
      <c r="AC44" s="63">
        <f>(SUM(_xlfn._xlws.FILTER(AC8:AC218,(E8:E218=E44)*(F8:F218=F44)*(G8:G218=G44)*(ISNUMBER(H8:H218))*(I8:I218="")*(N8:N218=FALSE)*(O8:O218=TRUE),0))+SUM(_xlfn._xlws.FILTER(AC8:AC218,(E8:E218=E44)*(F8:F218=F44)*(G8:G218=G44)*(H8:H218="")*(I8:I218="")*(N8:N218=TRUE)*(O8:O218=TRUE),0)))/IF(IFERROR(COUNT(_xlfn._xlws.FILTER(AC8:AC218,(E8:E218=E44)*(F8:F218=F44)*(G8:G218=G44)*(ISNUMBER(H8:H218))*(I8:I218="")*(N8:N218=FALSE)*(O8:O218=TRUE))),0)+IFERROR(COUNT(_xlfn._xlws.FILTER(AC8:AC218,(E8:E218=E44)*(F8:F218=F44)*(G8:G218=G44)*(H8:H218="")*(I8:I218="")*(N8:N218=TRUE)*(O8:O218=TRUE))),0)=0,1,IFERROR(COUNT(_xlfn._xlws.FILTER(AC8:AC218,(E8:E218=E44)*(F8:F218=F44)*(G8:G218=G44)*(ISNUMBER(H8:H218))*(I8:I218="")*(N8:N218=FALSE)*(O8:O218=TRUE))),0)+IFERROR(COUNT(_xlfn._xlws.FILTER(AC8:AC218,(E8:E218=E44)*(F8:F218=F44)*(G8:G218=G44)*(H8:H218="")*(I8:I218="")*(N8:N218=TRUE)*(O8:O218=TRUE))),0))</f>
        <v>0</v>
      </c>
      <c r="AD44" s="71">
        <f>(SUM(_xlfn._xlws.FILTER(AD8:AD218*(AE8:AE218),(E8:E218=E44)*(F8:F218=F44)*(G8:G218=G44)*(ISNUMBER(H8:H218))*(I8:I218="")*(N8:N218=FALSE)*(O8:O218=TRUE),0))+SUM(_xlfn._xlws.FILTER(AD8:AD218*(AE8:AE218),(E8:E218=E44)*(F8:F218=F44)*(G8:G218=G44)*(H8:H218="")*(I8:I218="")*(N8:N218=TRUE)*(O8:O218=TRUE),0)))/IF(SUM(_xlfn._xlws.FILTER(AE8:AE218,(E8:E218=E44)*(F8:F218=F44)*(G8:G218=G44)*(ISNUMBER(H8:H218))*(I8:I218="")*(N8:N218=FALSE)*(O8:O218=TRUE),0))+SUM(_xlfn._xlws.FILTER(AE8:AE218,(E8:E218=E44)*(F8:F218=F44)*(G8:G218=G44)*(H8:H218="")*(I8:I218="")*(N8:N218=TRUE)*(O8:O218=TRUE),0))=0,1,SUM(_xlfn._xlws.FILTER(AE8:AE218,(E8:E218=E44)*(F8:F218=F44)*(G8:G218=G44)*(ISNUMBER(H8:H218))*(I8:I218="")*(N8:N218=FALSE)*(O8:O218=TRUE),0))+SUM(_xlfn._xlws.FILTER(AE8:AE218,(E8:E218=E44)*(F8:F218=F44)*(G8:G218=G44)*(H8:H218="")*(I8:I218="")*(N8:N218=TRUE)*(O8:O218=TRUE),0)))</f>
        <v>0</v>
      </c>
      <c r="AE44" s="63">
        <v>1</v>
      </c>
      <c r="AF44" s="63" t="s">
        <v>234</v>
      </c>
      <c r="AG44" s="63" t="s">
        <v>234</v>
      </c>
      <c r="AH44" s="73"/>
      <c r="AI44" s="63">
        <f>SUM(_xlfn._xlws.FILTER(AI8:AI218,(E8:E218=E44)*(F8:F218=F44)*(G8:G218=G44)*(ISNUMBER(H8:H218))*(I8:I218="")*(N8:N218=FALSE)*(O8:O218=TRUE),0))+SUM(_xlfn._xlws.FILTER(AI8:AI218,(E8:E218=E44)*(F8:F218=F44)*(G8:G218=G44)*(H8:H218="")*(I8:I218="")*(N8:N218=TRUE)*(O8:O218=TRUE),0))</f>
        <v>0</v>
      </c>
      <c r="AJ44" s="63"/>
      <c r="AK44" s="63"/>
      <c r="AL44" s="63">
        <f>SUM(_xlfn._xlws.FILTER(AL8:AL218,(E8:E218=E44)*(F8:F218=F44)*(G8:G218=G44)*(ISNUMBER(H8:H218))*(I8:I218="")*(N8:N218=FALSE)*(O8:O218=TRUE),0))+SUM(_xlfn._xlws.FILTER(AL8:AL218,(E8:E218=E44)*(F8:F218=F44)*(G8:G218=G44)*(H8:H218="")*(I8:I218="")*(N8:N218=TRUE)*(O8:O218=TRUE),0))</f>
        <v>0</v>
      </c>
      <c r="AM44" s="63">
        <f>SUM(_xlfn._xlws.FILTER(AM8:AM218,(E8:E218=E44)*(F8:F218=F44)*(G8:G218=G44)*(ISNUMBER(H8:H218))*(I8:I218="")*(N8:N218=FALSE)*(O8:O218=TRUE),0))+SUM(_xlfn._xlws.FILTER(AM8:AM218,(E8:E218=E44)*(F8:F218=F44)*(G8:G218=G44)*(H8:H218="")*(I8:I218="")*(N8:N218=TRUE)*(O8:O218=TRUE),0))</f>
        <v>0</v>
      </c>
      <c r="AN44" s="63"/>
      <c r="AO44" s="63"/>
      <c r="AP44" s="63" t="s">
        <v>234</v>
      </c>
      <c r="AQ44" s="63" t="s">
        <v>234</v>
      </c>
    </row>
    <row r="45" spans="2:43" ht="18" customHeight="1">
      <c r="B45" s="63"/>
      <c r="C45" s="63" t="s">
        <v>257</v>
      </c>
      <c r="D45" s="63" t="s">
        <v>257</v>
      </c>
      <c r="E45" s="63">
        <v>1</v>
      </c>
      <c r="F45" s="63">
        <v>1</v>
      </c>
      <c r="G45" s="63">
        <v>2</v>
      </c>
      <c r="H45" s="63"/>
      <c r="I45" s="63"/>
      <c r="J45" s="63">
        <v>1</v>
      </c>
      <c r="K45" s="72" t="str">
        <f t="shared" si="0"/>
        <v>001.001.002.---.---.001</v>
      </c>
      <c r="L45" s="72">
        <f t="shared" si="1"/>
        <v>1</v>
      </c>
      <c r="M45" s="72">
        <f t="shared" si="2"/>
        <v>3</v>
      </c>
      <c r="N45" s="72" t="b">
        <f t="shared" si="3"/>
        <v>1</v>
      </c>
      <c r="O45" s="72" t="b">
        <f t="shared" si="4"/>
        <v>0</v>
      </c>
      <c r="P45" s="72" t="b">
        <f t="shared" si="5"/>
        <v>1</v>
      </c>
      <c r="Q45" s="72" t="b">
        <f t="shared" si="6"/>
        <v>0</v>
      </c>
      <c r="R45" s="72" t="str">
        <f t="shared" si="7"/>
        <v>1.1.2.T1</v>
      </c>
      <c r="X45" s="60" t="s">
        <v>242</v>
      </c>
      <c r="Z45" s="63">
        <v>1</v>
      </c>
      <c r="AA45" s="63">
        <f>IF(AB45="完了",1,0)</f>
        <v>0</v>
      </c>
      <c r="AB45" s="63" t="s">
        <v>243</v>
      </c>
      <c r="AC45" s="63">
        <f>AM45/IF(AL45+AM45=0,1,AL45+AM45)</f>
        <v>0</v>
      </c>
      <c r="AD45" s="71"/>
      <c r="AE45" s="63">
        <v>1</v>
      </c>
      <c r="AF45" s="63" t="s">
        <v>234</v>
      </c>
      <c r="AG45" s="63" t="s">
        <v>234</v>
      </c>
      <c r="AH45" s="73"/>
      <c r="AI45" s="63"/>
      <c r="AJ45" s="63"/>
      <c r="AK45" s="63"/>
      <c r="AL45" s="63"/>
      <c r="AM45" s="63"/>
      <c r="AN45" s="63"/>
      <c r="AO45" s="63"/>
      <c r="AP45" s="63" t="s">
        <v>234</v>
      </c>
      <c r="AQ45" s="63" t="s">
        <v>234</v>
      </c>
    </row>
    <row r="46" spans="2:43" ht="18" customHeight="1">
      <c r="B46" s="63"/>
      <c r="C46" s="63" t="s">
        <v>257</v>
      </c>
      <c r="D46" s="63" t="s">
        <v>257</v>
      </c>
      <c r="E46" s="63">
        <v>1</v>
      </c>
      <c r="F46" s="63">
        <v>1</v>
      </c>
      <c r="G46" s="63">
        <v>2</v>
      </c>
      <c r="H46" s="63"/>
      <c r="I46" s="63"/>
      <c r="J46" s="63">
        <v>2</v>
      </c>
      <c r="K46" s="72" t="str">
        <f t="shared" si="0"/>
        <v>001.001.002.---.---.002</v>
      </c>
      <c r="L46" s="72">
        <f t="shared" si="1"/>
        <v>1</v>
      </c>
      <c r="M46" s="72">
        <f t="shared" si="2"/>
        <v>3</v>
      </c>
      <c r="N46" s="72" t="b">
        <f t="shared" si="3"/>
        <v>1</v>
      </c>
      <c r="O46" s="72" t="b">
        <f t="shared" si="4"/>
        <v>1</v>
      </c>
      <c r="P46" s="72" t="b">
        <f t="shared" si="5"/>
        <v>1</v>
      </c>
      <c r="Q46" s="72" t="b">
        <f t="shared" si="6"/>
        <v>0</v>
      </c>
      <c r="R46" s="72" t="str">
        <f t="shared" si="7"/>
        <v>1.1.2.T2</v>
      </c>
      <c r="X46" s="60" t="s">
        <v>244</v>
      </c>
      <c r="Z46" s="63">
        <v>1</v>
      </c>
      <c r="AA46" s="63">
        <f>IF(AB46="完了",1,0)</f>
        <v>0</v>
      </c>
      <c r="AB46" s="63" t="s">
        <v>245</v>
      </c>
      <c r="AC46" s="63">
        <f>AM46/IF(AL46+AM46=0,1,AL46+AM46)</f>
        <v>0</v>
      </c>
      <c r="AD46" s="71"/>
      <c r="AE46" s="63">
        <v>1</v>
      </c>
      <c r="AF46" s="63" t="s">
        <v>234</v>
      </c>
      <c r="AG46" s="63" t="s">
        <v>234</v>
      </c>
      <c r="AH46" s="73"/>
      <c r="AI46" s="63"/>
      <c r="AJ46" s="63"/>
      <c r="AK46" s="63"/>
      <c r="AL46" s="63"/>
      <c r="AM46" s="63"/>
      <c r="AN46" s="63"/>
      <c r="AO46" s="63"/>
      <c r="AP46" s="63" t="s">
        <v>234</v>
      </c>
      <c r="AQ46" s="63" t="s">
        <v>234</v>
      </c>
    </row>
    <row r="47" spans="2:43" ht="18" customHeight="1">
      <c r="B47" s="63"/>
      <c r="C47" s="63" t="s">
        <v>257</v>
      </c>
      <c r="D47" s="63" t="s">
        <v>257</v>
      </c>
      <c r="E47" s="63">
        <v>1</v>
      </c>
      <c r="F47" s="63">
        <v>1</v>
      </c>
      <c r="G47" s="63">
        <v>2</v>
      </c>
      <c r="H47" s="63"/>
      <c r="I47" s="63"/>
      <c r="J47" s="63">
        <v>3</v>
      </c>
      <c r="K47" s="72" t="str">
        <f t="shared" si="0"/>
        <v>001.001.002.---.---.003</v>
      </c>
      <c r="L47" s="72">
        <f t="shared" si="1"/>
        <v>1</v>
      </c>
      <c r="M47" s="72">
        <f t="shared" si="2"/>
        <v>3</v>
      </c>
      <c r="N47" s="72" t="b">
        <f t="shared" si="3"/>
        <v>1</v>
      </c>
      <c r="O47" s="72" t="b">
        <f t="shared" si="4"/>
        <v>1</v>
      </c>
      <c r="P47" s="72" t="b">
        <f t="shared" si="5"/>
        <v>1</v>
      </c>
      <c r="Q47" s="72" t="b">
        <f t="shared" si="6"/>
        <v>0</v>
      </c>
      <c r="R47" s="72" t="str">
        <f t="shared" si="7"/>
        <v>1.1.2.T3</v>
      </c>
      <c r="X47" s="60" t="s">
        <v>246</v>
      </c>
      <c r="Z47" s="63">
        <v>1</v>
      </c>
      <c r="AA47" s="63">
        <f>IF(AB47="完了",1,0)</f>
        <v>0</v>
      </c>
      <c r="AB47" s="63" t="s">
        <v>234</v>
      </c>
      <c r="AC47" s="63">
        <f>AM47/IF(AL47+AM47=0,1,AL47+AM47)</f>
        <v>0</v>
      </c>
      <c r="AD47" s="71"/>
      <c r="AE47" s="63">
        <v>1</v>
      </c>
      <c r="AF47" s="63" t="s">
        <v>234</v>
      </c>
      <c r="AG47" s="63" t="s">
        <v>234</v>
      </c>
      <c r="AH47" s="73"/>
      <c r="AI47" s="63"/>
      <c r="AJ47" s="63"/>
      <c r="AK47" s="63"/>
      <c r="AL47" s="63"/>
      <c r="AM47" s="63"/>
      <c r="AN47" s="63"/>
      <c r="AO47" s="63"/>
      <c r="AP47" s="63" t="s">
        <v>234</v>
      </c>
      <c r="AQ47" s="63" t="s">
        <v>234</v>
      </c>
    </row>
    <row r="48" spans="2:43" ht="18" customHeight="1">
      <c r="B48" s="63"/>
      <c r="C48" s="63" t="s">
        <v>257</v>
      </c>
      <c r="D48" s="63" t="s">
        <v>257</v>
      </c>
      <c r="E48" s="63">
        <v>1</v>
      </c>
      <c r="F48" s="63">
        <v>1</v>
      </c>
      <c r="G48" s="63">
        <v>2</v>
      </c>
      <c r="H48" s="63">
        <v>1</v>
      </c>
      <c r="I48" s="63"/>
      <c r="J48" s="63"/>
      <c r="K48" s="72" t="str">
        <f t="shared" si="0"/>
        <v>001.001.002.001.---.---</v>
      </c>
      <c r="L48" s="72">
        <f t="shared" si="1"/>
        <v>1</v>
      </c>
      <c r="M48" s="72">
        <f t="shared" si="2"/>
        <v>4</v>
      </c>
      <c r="N48" s="72" t="b">
        <f t="shared" si="3"/>
        <v>0</v>
      </c>
      <c r="O48" s="72" t="b">
        <f t="shared" si="4"/>
        <v>1</v>
      </c>
      <c r="P48" s="72" t="b">
        <f t="shared" si="5"/>
        <v>1</v>
      </c>
      <c r="Q48" s="72" t="b">
        <f t="shared" si="6"/>
        <v>1</v>
      </c>
      <c r="R48" s="72" t="str">
        <f t="shared" si="7"/>
        <v>1.1.2.1</v>
      </c>
      <c r="V48" s="60" t="s">
        <v>247</v>
      </c>
      <c r="Z48" s="63">
        <f>SUM(_xlfn._xlws.FILTER(Z8:Z218,(E8:E218=E48)*(F8:F218=F48)*(G8:G218=G48)*(H8:H218=H48)*(ISNUMBER(I8:I218))*(N8:N218=FALSE)*(O8:O218=TRUE),0))+SUM(_xlfn._xlws.FILTER(Z8:Z218,(E8:E218=E48)*(F8:F218=F48)*(G8:G218=G48)*(H8:H218=H48)*(I8:I218="")*(N8:N218=TRUE)*(O8:O218=TRUE),0))</f>
        <v>9</v>
      </c>
      <c r="AA48" s="63">
        <f>SUM(_xlfn._xlws.FILTER(AA8:AA218,(E8:E218=E48)*(F8:F218=F48)*(G8:G218=G48)*(H8:H218=H48)*(ISNUMBER(I8:I218))*(N8:N218=FALSE)*(O8:O218=TRUE),0))+SUM(_xlfn._xlws.FILTER(AA8:AA218,(E8:E218=E48)*(F8:F218=F48)*(G8:G218=G48)*(H8:H218=H48)*(I8:I218="")*(N8:N218=TRUE)*(O8:O218=TRUE),0))</f>
        <v>1</v>
      </c>
      <c r="AB48" s="63" t="s">
        <v>234</v>
      </c>
      <c r="AC48" s="63">
        <f>(SUM(_xlfn._xlws.FILTER(AC8:AC218,(E8:E218=E48)*(F8:F218=F48)*(G8:G218=G48)*(H8:H218=H48)*(ISNUMBER(I8:I218))*(N8:N218=FALSE)*(O8:O218=TRUE),0))+SUM(_xlfn._xlws.FILTER(AC8:AC218,(E8:E218=E48)*(F8:F218=F48)*(G8:G218=G48)*(H8:H218=H48)*(I8:I218="")*(N8:N218=TRUE)*(O8:O218=TRUE),0)))/IF(IFERROR(COUNT(_xlfn._xlws.FILTER(AC8:AC218,(E8:E218=E48)*(F8:F218=F48)*(G8:G218=G48)*(H8:H218=H48)*(ISNUMBER(I8:I218))*(N8:N218=FALSE)*(O8:O218=TRUE))),0)+IFERROR(COUNT(_xlfn._xlws.FILTER(AC8:AC218,(E8:E218=E48)*(F8:F218=F48)*(G8:G218=G48)*(H8:H218=H48)*(I8:I218="")*(N8:N218=TRUE)*(O8:O218=TRUE))),0)=0,1,IFERROR(COUNT(_xlfn._xlws.FILTER(AC8:AC218,(E8:E218=E48)*(F8:F218=F48)*(G8:G218=G48)*(H8:H218=H48)*(ISNUMBER(I8:I218))*(N8:N218=FALSE)*(O8:O218=TRUE))),0)+IFERROR(COUNT(_xlfn._xlws.FILTER(AC8:AC218,(E8:E218=E48)*(F8:F218=F48)*(G8:G218=G48)*(H8:H218=H48)*(I8:I218="")*(N8:N218=TRUE)*(O8:O218=TRUE))),0))</f>
        <v>0</v>
      </c>
      <c r="AD48" s="71">
        <f>(SUM(_xlfn._xlws.FILTER(AD8:AD218*(AE8:AE218),(E8:E218=E48)*(F8:F218=F48)*(G8:G218=G48)*(H8:H218=H48)*(ISNUMBER(I8:I218))*(N8:N218=FALSE)*(O8:O218=TRUE),0))+SUM(_xlfn._xlws.FILTER(AD8:AD218*(AE8:AE218),(E8:E218=E48)*(F8:F218=F48)*(G8:G218=G48)*(H8:H218=H48)*(I8:I218="")*(N8:N218=TRUE)*(O8:O218=TRUE),0)))/IF(SUM(_xlfn._xlws.FILTER(AE8:AE218,(E8:E218=E48)*(F8:F218=F48)*(G8:G218=G48)*(H8:H218=H48)*(ISNUMBER(I8:I218))*(N8:N218=FALSE)*(O8:O218=TRUE),0))+SUM(_xlfn._xlws.FILTER(AE8:AE218,(E8:E218=E48)*(F8:F218=F48)*(G8:G218=G48)*(H8:H218=H48)*(I8:I218="")*(N8:N218=TRUE)*(O8:O218=TRUE),0))=0,1,SUM(_xlfn._xlws.FILTER(AE8:AE218,(E8:E218=E48)*(F8:F218=F48)*(G8:G218=G48)*(H8:H218=H48)*(ISNUMBER(I8:I218))*(N8:N218=FALSE)*(O8:O218=TRUE),0))+SUM(_xlfn._xlws.FILTER(AE8:AE218,(E8:E218=E48)*(F8:F218=F48)*(G8:G218=G48)*(H8:H218=H48)*(I8:I218="")*(N8:N218=TRUE)*(O8:O218=TRUE),0)))</f>
        <v>0</v>
      </c>
      <c r="AE48" s="63">
        <v>1</v>
      </c>
      <c r="AF48" s="63" t="s">
        <v>234</v>
      </c>
      <c r="AG48" s="63" t="s">
        <v>234</v>
      </c>
      <c r="AH48" s="73"/>
      <c r="AI48" s="63">
        <f>SUM(_xlfn._xlws.FILTER(AI8:AI218,(E8:E218=E48)*(F8:F218=F48)*(G8:G218=G48)*(H8:H218=H48)*(ISNUMBER(I8:I218))*(N8:N218=FALSE)*(O8:O218=TRUE),0))+SUM(_xlfn._xlws.FILTER(AI8:AI218,(E8:E218=E48)*(F8:F218=F48)*(G8:G218=G48)*(H8:H218=H48)*(I8:I218="")*(N8:N218=TRUE)*(O8:O218=TRUE),0))</f>
        <v>0</v>
      </c>
      <c r="AJ48" s="63"/>
      <c r="AK48" s="63"/>
      <c r="AL48" s="63">
        <f>SUM(_xlfn._xlws.FILTER(AL8:AL218,(E8:E218=E48)*(F8:F218=F48)*(G8:G218=G48)*(H8:H218=H48)*(ISNUMBER(I8:I218))*(N8:N218=FALSE)*(O8:O218=TRUE),0))+SUM(_xlfn._xlws.FILTER(AL8:AL218,(E8:E218=E48)*(F8:F218=F48)*(G8:G218=G48)*(H8:H218=H48)*(I8:I218="")*(N8:N218=TRUE)*(O8:O218=TRUE),0))</f>
        <v>0</v>
      </c>
      <c r="AM48" s="63">
        <f>SUM(_xlfn._xlws.FILTER(AM8:AM218,(E8:E218=E48)*(F8:F218=F48)*(G8:G218=G48)*(H8:H218=H48)*(ISNUMBER(I8:I218))*(N8:N218=FALSE)*(O8:O218=TRUE),0))+SUM(_xlfn._xlws.FILTER(AM8:AM218,(E8:E218=E48)*(F8:F218=F48)*(G8:G218=G48)*(H8:H218=H48)*(I8:I218="")*(N8:N218=TRUE)*(O8:O218=TRUE),0))</f>
        <v>0</v>
      </c>
      <c r="AN48" s="63"/>
      <c r="AO48" s="63"/>
      <c r="AP48" s="63" t="s">
        <v>234</v>
      </c>
      <c r="AQ48" s="63" t="s">
        <v>234</v>
      </c>
    </row>
    <row r="49" spans="2:43" ht="18" customHeight="1">
      <c r="B49" s="63"/>
      <c r="C49" s="63" t="s">
        <v>257</v>
      </c>
      <c r="D49" s="63" t="s">
        <v>257</v>
      </c>
      <c r="E49" s="63">
        <v>1</v>
      </c>
      <c r="F49" s="63">
        <v>1</v>
      </c>
      <c r="G49" s="63">
        <v>2</v>
      </c>
      <c r="H49" s="63">
        <v>1</v>
      </c>
      <c r="I49" s="63"/>
      <c r="J49" s="63">
        <v>1</v>
      </c>
      <c r="K49" s="72" t="str">
        <f t="shared" si="0"/>
        <v>001.001.002.001.---.001</v>
      </c>
      <c r="L49" s="72">
        <f t="shared" si="1"/>
        <v>1</v>
      </c>
      <c r="M49" s="72">
        <f t="shared" si="2"/>
        <v>4</v>
      </c>
      <c r="N49" s="72" t="b">
        <f t="shared" si="3"/>
        <v>1</v>
      </c>
      <c r="O49" s="72" t="b">
        <f t="shared" si="4"/>
        <v>1</v>
      </c>
      <c r="P49" s="72" t="b">
        <f t="shared" si="5"/>
        <v>1</v>
      </c>
      <c r="Q49" s="72" t="b">
        <f t="shared" si="6"/>
        <v>0</v>
      </c>
      <c r="R49" s="72" t="str">
        <f t="shared" si="7"/>
        <v>1.1.2.1.T1</v>
      </c>
      <c r="X49" s="60" t="s">
        <v>248</v>
      </c>
      <c r="Z49" s="63">
        <v>1</v>
      </c>
      <c r="AA49" s="63">
        <f>IF(AB49="完了",1,0)</f>
        <v>1</v>
      </c>
      <c r="AB49" s="63" t="s">
        <v>204</v>
      </c>
      <c r="AC49" s="63">
        <f>AM49/IF(AL49+AM49=0,1,AL49+AM49)</f>
        <v>0</v>
      </c>
      <c r="AD49" s="71"/>
      <c r="AE49" s="63">
        <v>1</v>
      </c>
      <c r="AF49" s="63" t="s">
        <v>234</v>
      </c>
      <c r="AG49" s="63" t="s">
        <v>234</v>
      </c>
      <c r="AH49" s="73"/>
      <c r="AI49" s="63"/>
      <c r="AJ49" s="63"/>
      <c r="AK49" s="63"/>
      <c r="AL49" s="63"/>
      <c r="AM49" s="63"/>
      <c r="AN49" s="63"/>
      <c r="AO49" s="63"/>
      <c r="AP49" s="63" t="s">
        <v>234</v>
      </c>
      <c r="AQ49" s="63" t="s">
        <v>234</v>
      </c>
    </row>
    <row r="50" spans="2:43" ht="18" customHeight="1">
      <c r="B50" s="63"/>
      <c r="C50" s="63" t="s">
        <v>257</v>
      </c>
      <c r="D50" s="63" t="s">
        <v>257</v>
      </c>
      <c r="E50" s="63">
        <v>1</v>
      </c>
      <c r="F50" s="63">
        <v>1</v>
      </c>
      <c r="G50" s="63">
        <v>2</v>
      </c>
      <c r="H50" s="63">
        <v>1</v>
      </c>
      <c r="I50" s="63"/>
      <c r="J50" s="63">
        <v>2</v>
      </c>
      <c r="K50" s="72" t="str">
        <f t="shared" si="0"/>
        <v>001.001.002.001.---.002</v>
      </c>
      <c r="L50" s="72">
        <f t="shared" si="1"/>
        <v>1</v>
      </c>
      <c r="M50" s="72">
        <f t="shared" si="2"/>
        <v>4</v>
      </c>
      <c r="N50" s="72" t="b">
        <f t="shared" si="3"/>
        <v>1</v>
      </c>
      <c r="O50" s="72" t="b">
        <f t="shared" si="4"/>
        <v>1</v>
      </c>
      <c r="P50" s="72" t="b">
        <f t="shared" si="5"/>
        <v>1</v>
      </c>
      <c r="Q50" s="72" t="b">
        <f t="shared" si="6"/>
        <v>0</v>
      </c>
      <c r="R50" s="72" t="str">
        <f t="shared" si="7"/>
        <v>1.1.2.1.T2</v>
      </c>
      <c r="X50" s="60" t="s">
        <v>249</v>
      </c>
      <c r="Z50" s="63">
        <v>1</v>
      </c>
      <c r="AA50" s="63">
        <f>IF(AB50="完了",1,0)</f>
        <v>0</v>
      </c>
      <c r="AB50" s="63" t="s">
        <v>250</v>
      </c>
      <c r="AC50" s="63">
        <f>AM50/IF(AL50+AM50=0,1,AL50+AM50)</f>
        <v>0</v>
      </c>
      <c r="AD50" s="71"/>
      <c r="AE50" s="63">
        <v>1</v>
      </c>
      <c r="AF50" s="63" t="s">
        <v>234</v>
      </c>
      <c r="AG50" s="63" t="s">
        <v>234</v>
      </c>
      <c r="AH50" s="73"/>
      <c r="AI50" s="63"/>
      <c r="AJ50" s="63"/>
      <c r="AK50" s="63"/>
      <c r="AL50" s="63"/>
      <c r="AM50" s="63"/>
      <c r="AN50" s="63"/>
      <c r="AO50" s="63"/>
      <c r="AP50" s="63" t="s">
        <v>234</v>
      </c>
      <c r="AQ50" s="63" t="s">
        <v>234</v>
      </c>
    </row>
    <row r="51" spans="2:43" ht="18" customHeight="1">
      <c r="B51" s="63"/>
      <c r="C51" s="63" t="s">
        <v>257</v>
      </c>
      <c r="D51" s="63" t="s">
        <v>257</v>
      </c>
      <c r="E51" s="63">
        <v>1</v>
      </c>
      <c r="F51" s="63">
        <v>1</v>
      </c>
      <c r="G51" s="63">
        <v>2</v>
      </c>
      <c r="H51" s="63">
        <v>1</v>
      </c>
      <c r="I51" s="63"/>
      <c r="J51" s="63">
        <v>3</v>
      </c>
      <c r="K51" s="72" t="str">
        <f t="shared" si="0"/>
        <v>001.001.002.001.---.003</v>
      </c>
      <c r="L51" s="72">
        <f t="shared" si="1"/>
        <v>1</v>
      </c>
      <c r="M51" s="72">
        <f t="shared" si="2"/>
        <v>4</v>
      </c>
      <c r="N51" s="72" t="b">
        <f t="shared" si="3"/>
        <v>1</v>
      </c>
      <c r="O51" s="72" t="b">
        <f t="shared" si="4"/>
        <v>1</v>
      </c>
      <c r="P51" s="72" t="b">
        <f t="shared" si="5"/>
        <v>1</v>
      </c>
      <c r="Q51" s="72" t="b">
        <f t="shared" si="6"/>
        <v>0</v>
      </c>
      <c r="R51" s="72" t="str">
        <f t="shared" si="7"/>
        <v>1.1.2.1.T3</v>
      </c>
      <c r="X51" s="60" t="s">
        <v>251</v>
      </c>
      <c r="Z51" s="63">
        <v>1</v>
      </c>
      <c r="AA51" s="63">
        <f>IF(AB51="完了",1,0)</f>
        <v>0</v>
      </c>
      <c r="AB51" s="63" t="s">
        <v>234</v>
      </c>
      <c r="AC51" s="63">
        <f>AM51/IF(AL51+AM51=0,1,AL51+AM51)</f>
        <v>0</v>
      </c>
      <c r="AD51" s="71"/>
      <c r="AE51" s="63">
        <v>1</v>
      </c>
      <c r="AF51" s="63" t="s">
        <v>234</v>
      </c>
      <c r="AG51" s="63" t="s">
        <v>234</v>
      </c>
      <c r="AH51" s="73"/>
      <c r="AI51" s="63"/>
      <c r="AJ51" s="63"/>
      <c r="AK51" s="63"/>
      <c r="AL51" s="63"/>
      <c r="AM51" s="63"/>
      <c r="AN51" s="63"/>
      <c r="AO51" s="63"/>
      <c r="AP51" s="63" t="s">
        <v>234</v>
      </c>
      <c r="AQ51" s="63" t="s">
        <v>234</v>
      </c>
    </row>
    <row r="52" spans="2:43" ht="18" customHeight="1">
      <c r="B52" s="63"/>
      <c r="C52" s="63" t="s">
        <v>257</v>
      </c>
      <c r="D52" s="63" t="s">
        <v>257</v>
      </c>
      <c r="E52" s="63">
        <v>1</v>
      </c>
      <c r="F52" s="63">
        <v>1</v>
      </c>
      <c r="G52" s="63">
        <v>2</v>
      </c>
      <c r="H52" s="63">
        <v>1</v>
      </c>
      <c r="I52" s="63">
        <v>1</v>
      </c>
      <c r="J52" s="63"/>
      <c r="K52" s="72" t="str">
        <f t="shared" si="0"/>
        <v>001.001.002.001.001.---</v>
      </c>
      <c r="L52" s="72">
        <f t="shared" si="1"/>
        <v>1</v>
      </c>
      <c r="M52" s="72">
        <f t="shared" si="2"/>
        <v>5</v>
      </c>
      <c r="N52" s="72" t="b">
        <f t="shared" si="3"/>
        <v>0</v>
      </c>
      <c r="O52" s="72" t="b">
        <f t="shared" si="4"/>
        <v>1</v>
      </c>
      <c r="P52" s="72" t="b">
        <f t="shared" si="5"/>
        <v>1</v>
      </c>
      <c r="Q52" s="72" t="b">
        <f t="shared" si="6"/>
        <v>1</v>
      </c>
      <c r="R52" s="72" t="str">
        <f t="shared" si="7"/>
        <v>1.1.2.1.1</v>
      </c>
      <c r="W52" s="60" t="s">
        <v>252</v>
      </c>
      <c r="Z52" s="63">
        <f>SUM(_xlfn._xlws.FILTER(Z8:Z218,(E8:E218=E52)*(F8:F218=F52)*(G8:G218=G52)*(H8:H218=H52)*(I8:I218=I52)*(N8:N218=TRUE)*(O8:O218=TRUE),0))</f>
        <v>3</v>
      </c>
      <c r="AA52" s="63">
        <f>SUM(_xlfn._xlws.FILTER(AA8:AA218,(E8:E218=E52)*(F8:F218=F52)*(G8:G218=G52)*(H8:H218=H52)*(I8:I218=I52)*(N8:N218=TRUE)*(O8:O218=TRUE),0))</f>
        <v>0</v>
      </c>
      <c r="AB52" s="63" t="s">
        <v>234</v>
      </c>
      <c r="AC52" s="63">
        <f>SUM(_xlfn._xlws.FILTER(AC8:AC218,(E8:E218=E52)*(F8:F218=F52)*(G8:G218=G52)*(H8:H218=H52)*(I8:I218=I52)*(N8:N218=TRUE)*(O8:O218=TRUE),0))/IF(IFERROR(COUNT(_xlfn._xlws.FILTER(AC8:AC218,(E8:E218=E52)*(F8:F218=F52)*(G8:G218=G52)*(H8:H218=H52)*(I8:I218=I52)*(N8:N218=TRUE)*(O8:O218=TRUE))),0)=0,1,IFERROR(COUNT(_xlfn._xlws.FILTER(AC8:AC218,(E8:E218=E52)*(F8:F218=F52)*(G8:G218=G52)*(H8:H218=H52)*(I8:I218=I52)*(N8:N218=TRUE)*(O8:O218=TRUE))),0))</f>
        <v>0</v>
      </c>
      <c r="AD52" s="71">
        <f>SUM(_xlfn._xlws.FILTER(AD8:AD218*(AE8:AE218),(E8:E218=E52)*(F8:F218=F52)*(G8:G218=G52)*(H8:H218=H52)*(I8:I218=I52)*(N8:N218=TRUE)*(O8:O218=TRUE),0))/IF(SUM(_xlfn._xlws.FILTER(AE8:AE218,(E8:E218=E52)*(F8:F218=F52)*(G8:G218=G52)*(H8:H218=H52)*(I8:I218=I52)*(N8:N218=TRUE)*(O8:O218=TRUE),0))=0,1,SUM(_xlfn._xlws.FILTER(AE8:AE218,(E8:E218=E52)*(F8:F218=F52)*(G8:G218=G52)*(H8:H218=H52)*(I8:I218=I52)*(N8:N218=TRUE)*(O8:O218=TRUE),0)))</f>
        <v>0</v>
      </c>
      <c r="AE52" s="63">
        <v>1</v>
      </c>
      <c r="AF52" s="63" t="s">
        <v>234</v>
      </c>
      <c r="AG52" s="63" t="s">
        <v>234</v>
      </c>
      <c r="AH52" s="73"/>
      <c r="AI52" s="63">
        <f>SUM(_xlfn._xlws.FILTER(AI8:AI218,(E8:E218=E52)*(F8:F218=F52)*(G8:G218=G52)*(H8:H218=H52)*(I8:I218=I52)*(N8:N218=TRUE)*(O8:O218=TRUE),0))</f>
        <v>0</v>
      </c>
      <c r="AJ52" s="63"/>
      <c r="AK52" s="63"/>
      <c r="AL52" s="63">
        <f>SUM(_xlfn._xlws.FILTER(AL8:AL218,(E8:E218=E52)*(F8:F218=F52)*(G8:G218=G52)*(H8:H218=H52)*(I8:I218=I52)*(N8:N218=TRUE)*(O8:O218=TRUE),0))</f>
        <v>0</v>
      </c>
      <c r="AM52" s="63">
        <f>SUM(_xlfn._xlws.FILTER(AM8:AM218,(E8:E218=E52)*(F8:F218=F52)*(G8:G218=G52)*(H8:H218=H52)*(I8:I218=I52)*(N8:N218=TRUE)*(O8:O218=TRUE),0))</f>
        <v>0</v>
      </c>
      <c r="AN52" s="63"/>
      <c r="AO52" s="63"/>
      <c r="AP52" s="63" t="s">
        <v>234</v>
      </c>
      <c r="AQ52" s="63" t="s">
        <v>234</v>
      </c>
    </row>
    <row r="53" spans="2:43" ht="18" customHeight="1">
      <c r="B53" s="63"/>
      <c r="C53" s="63" t="s">
        <v>257</v>
      </c>
      <c r="D53" s="63" t="s">
        <v>257</v>
      </c>
      <c r="E53" s="63">
        <v>1</v>
      </c>
      <c r="F53" s="63">
        <v>1</v>
      </c>
      <c r="G53" s="63">
        <v>2</v>
      </c>
      <c r="H53" s="63">
        <v>1</v>
      </c>
      <c r="I53" s="63">
        <v>1</v>
      </c>
      <c r="J53" s="63">
        <v>1</v>
      </c>
      <c r="K53" s="72" t="str">
        <f t="shared" si="0"/>
        <v>001.001.002.001.001.001</v>
      </c>
      <c r="L53" s="72">
        <f t="shared" si="1"/>
        <v>1</v>
      </c>
      <c r="M53" s="72">
        <f t="shared" si="2"/>
        <v>5</v>
      </c>
      <c r="N53" s="72" t="b">
        <f t="shared" si="3"/>
        <v>1</v>
      </c>
      <c r="O53" s="72" t="b">
        <f t="shared" si="4"/>
        <v>1</v>
      </c>
      <c r="P53" s="72" t="b">
        <f t="shared" si="5"/>
        <v>1</v>
      </c>
      <c r="Q53" s="72" t="b">
        <f t="shared" si="6"/>
        <v>0</v>
      </c>
      <c r="R53" s="72" t="str">
        <f t="shared" si="7"/>
        <v>1.1.2.1.1.T1</v>
      </c>
      <c r="X53" s="60" t="s">
        <v>253</v>
      </c>
      <c r="Z53" s="63">
        <v>1</v>
      </c>
      <c r="AA53" s="63">
        <f>IF(AB53="完了",1,0)</f>
        <v>0</v>
      </c>
      <c r="AB53" s="63" t="s">
        <v>234</v>
      </c>
      <c r="AC53" s="63">
        <f>AM53/IF(AL53+AM53=0,1,AL53+AM53)</f>
        <v>0</v>
      </c>
      <c r="AD53" s="71"/>
      <c r="AE53" s="63">
        <v>1</v>
      </c>
      <c r="AF53" s="63" t="s">
        <v>234</v>
      </c>
      <c r="AG53" s="63" t="s">
        <v>234</v>
      </c>
      <c r="AH53" s="73"/>
      <c r="AI53" s="63"/>
      <c r="AJ53" s="63"/>
      <c r="AK53" s="63"/>
      <c r="AL53" s="63"/>
      <c r="AM53" s="63"/>
      <c r="AN53" s="63"/>
      <c r="AO53" s="63"/>
      <c r="AP53" s="63" t="s">
        <v>234</v>
      </c>
      <c r="AQ53" s="63" t="s">
        <v>234</v>
      </c>
    </row>
    <row r="54" spans="2:43" ht="18" customHeight="1">
      <c r="B54" s="63"/>
      <c r="C54" s="63" t="s">
        <v>257</v>
      </c>
      <c r="D54" s="63" t="s">
        <v>257</v>
      </c>
      <c r="E54" s="63">
        <v>1</v>
      </c>
      <c r="F54" s="63">
        <v>1</v>
      </c>
      <c r="G54" s="63">
        <v>2</v>
      </c>
      <c r="H54" s="63">
        <v>1</v>
      </c>
      <c r="I54" s="63">
        <v>1</v>
      </c>
      <c r="J54" s="63">
        <v>2</v>
      </c>
      <c r="K54" s="72" t="str">
        <f t="shared" si="0"/>
        <v>001.001.002.001.001.002</v>
      </c>
      <c r="L54" s="72">
        <f t="shared" si="1"/>
        <v>1</v>
      </c>
      <c r="M54" s="72">
        <f t="shared" si="2"/>
        <v>5</v>
      </c>
      <c r="N54" s="72" t="b">
        <f t="shared" si="3"/>
        <v>1</v>
      </c>
      <c r="O54" s="72" t="b">
        <f t="shared" si="4"/>
        <v>1</v>
      </c>
      <c r="P54" s="72" t="b">
        <f t="shared" si="5"/>
        <v>1</v>
      </c>
      <c r="Q54" s="72" t="b">
        <f t="shared" si="6"/>
        <v>0</v>
      </c>
      <c r="R54" s="72" t="str">
        <f t="shared" si="7"/>
        <v>1.1.2.1.1.T2</v>
      </c>
      <c r="X54" s="60" t="s">
        <v>254</v>
      </c>
      <c r="Z54" s="63">
        <v>1</v>
      </c>
      <c r="AA54" s="63">
        <f>IF(AB54="完了",1,0)</f>
        <v>0</v>
      </c>
      <c r="AB54" s="63" t="s">
        <v>234</v>
      </c>
      <c r="AC54" s="63">
        <f>AM54/IF(AL54+AM54=0,1,AL54+AM54)</f>
        <v>0</v>
      </c>
      <c r="AD54" s="71"/>
      <c r="AE54" s="63">
        <v>1</v>
      </c>
      <c r="AF54" s="63" t="s">
        <v>234</v>
      </c>
      <c r="AG54" s="63" t="s">
        <v>234</v>
      </c>
      <c r="AH54" s="73"/>
      <c r="AI54" s="63"/>
      <c r="AJ54" s="63"/>
      <c r="AK54" s="63"/>
      <c r="AL54" s="63"/>
      <c r="AM54" s="63"/>
      <c r="AN54" s="63"/>
      <c r="AO54" s="63"/>
      <c r="AP54" s="63" t="s">
        <v>234</v>
      </c>
      <c r="AQ54" s="63" t="s">
        <v>234</v>
      </c>
    </row>
    <row r="55" spans="2:43" ht="18" customHeight="1">
      <c r="B55" s="63"/>
      <c r="C55" s="63" t="s">
        <v>257</v>
      </c>
      <c r="D55" s="63" t="s">
        <v>257</v>
      </c>
      <c r="E55" s="63">
        <v>1</v>
      </c>
      <c r="F55" s="63">
        <v>1</v>
      </c>
      <c r="G55" s="63">
        <v>2</v>
      </c>
      <c r="H55" s="63">
        <v>1</v>
      </c>
      <c r="I55" s="63">
        <v>1</v>
      </c>
      <c r="J55" s="63">
        <v>3</v>
      </c>
      <c r="K55" s="72" t="str">
        <f t="shared" si="0"/>
        <v>001.001.002.001.001.003</v>
      </c>
      <c r="L55" s="72">
        <f t="shared" si="1"/>
        <v>1</v>
      </c>
      <c r="M55" s="72">
        <f t="shared" si="2"/>
        <v>5</v>
      </c>
      <c r="N55" s="72" t="b">
        <f t="shared" si="3"/>
        <v>1</v>
      </c>
      <c r="O55" s="72" t="b">
        <f t="shared" si="4"/>
        <v>1</v>
      </c>
      <c r="P55" s="72" t="b">
        <f t="shared" si="5"/>
        <v>1</v>
      </c>
      <c r="Q55" s="72" t="b">
        <f t="shared" si="6"/>
        <v>0</v>
      </c>
      <c r="R55" s="72" t="str">
        <f t="shared" si="7"/>
        <v>1.1.2.1.1.T3</v>
      </c>
      <c r="Z55" s="63">
        <v>1</v>
      </c>
      <c r="AA55" s="63">
        <f>IF(AB55="完了",1,0)</f>
        <v>0</v>
      </c>
      <c r="AB55" s="63" t="s">
        <v>234</v>
      </c>
      <c r="AC55" s="63">
        <f>AM55/IF(AL55+AM55=0,1,AL55+AM55)</f>
        <v>0</v>
      </c>
      <c r="AD55" s="71"/>
      <c r="AE55" s="63">
        <v>1</v>
      </c>
      <c r="AF55" s="63" t="s">
        <v>234</v>
      </c>
      <c r="AG55" s="63" t="s">
        <v>234</v>
      </c>
      <c r="AH55" s="73"/>
      <c r="AI55" s="63"/>
      <c r="AJ55" s="63"/>
      <c r="AK55" s="63"/>
      <c r="AL55" s="63"/>
      <c r="AM55" s="63"/>
      <c r="AN55" s="63"/>
      <c r="AO55" s="63"/>
      <c r="AP55" s="63" t="s">
        <v>234</v>
      </c>
      <c r="AQ55" s="63" t="s">
        <v>234</v>
      </c>
    </row>
    <row r="56" spans="2:43" ht="18" customHeight="1">
      <c r="B56" s="63"/>
      <c r="C56" s="63" t="s">
        <v>257</v>
      </c>
      <c r="D56" s="63" t="s">
        <v>257</v>
      </c>
      <c r="E56" s="63">
        <v>1</v>
      </c>
      <c r="F56" s="63">
        <v>1</v>
      </c>
      <c r="G56" s="63">
        <v>2</v>
      </c>
      <c r="H56" s="63">
        <v>1</v>
      </c>
      <c r="I56" s="63">
        <v>2</v>
      </c>
      <c r="J56" s="63"/>
      <c r="K56" s="72" t="str">
        <f t="shared" si="0"/>
        <v>001.001.002.001.002.---</v>
      </c>
      <c r="L56" s="72">
        <f t="shared" si="1"/>
        <v>1</v>
      </c>
      <c r="M56" s="72">
        <f t="shared" si="2"/>
        <v>5</v>
      </c>
      <c r="N56" s="72" t="b">
        <f t="shared" si="3"/>
        <v>0</v>
      </c>
      <c r="O56" s="72" t="b">
        <f t="shared" si="4"/>
        <v>1</v>
      </c>
      <c r="P56" s="72" t="b">
        <f t="shared" si="5"/>
        <v>1</v>
      </c>
      <c r="Q56" s="72" t="b">
        <f t="shared" si="6"/>
        <v>1</v>
      </c>
      <c r="R56" s="72" t="str">
        <f t="shared" si="7"/>
        <v>1.1.2.1.2</v>
      </c>
      <c r="Z56" s="63">
        <f>SUM(_xlfn._xlws.FILTER(Z8:Z218,(E8:E218=E56)*(F8:F218=F56)*(G8:G218=G56)*(H8:H218=H56)*(I8:I218=I56)*(N8:N218=TRUE)*(O8:O218=TRUE),0))</f>
        <v>3</v>
      </c>
      <c r="AA56" s="63">
        <f>SUM(_xlfn._xlws.FILTER(AA8:AA218,(E8:E218=E56)*(F8:F218=F56)*(G8:G218=G56)*(H8:H218=H56)*(I8:I218=I56)*(N8:N218=TRUE)*(O8:O218=TRUE),0))</f>
        <v>0</v>
      </c>
      <c r="AB56" s="63" t="s">
        <v>234</v>
      </c>
      <c r="AC56" s="63">
        <f>SUM(_xlfn._xlws.FILTER(AC8:AC218,(E8:E218=E56)*(F8:F218=F56)*(G8:G218=G56)*(H8:H218=H56)*(I8:I218=I56)*(N8:N218=TRUE)*(O8:O218=TRUE),0))/IF(IFERROR(COUNT(_xlfn._xlws.FILTER(AC8:AC218,(E8:E218=E56)*(F8:F218=F56)*(G8:G218=G56)*(H8:H218=H56)*(I8:I218=I56)*(N8:N218=TRUE)*(O8:O218=TRUE))),0)=0,1,IFERROR(COUNT(_xlfn._xlws.FILTER(AC8:AC218,(E8:E218=E56)*(F8:F218=F56)*(G8:G218=G56)*(H8:H218=H56)*(I8:I218=I56)*(N8:N218=TRUE)*(O8:O218=TRUE))),0))</f>
        <v>0</v>
      </c>
      <c r="AD56" s="71">
        <f>SUM(_xlfn._xlws.FILTER(AD8:AD218*(AE8:AE218),(E8:E218=E56)*(F8:F218=F56)*(G8:G218=G56)*(H8:H218=H56)*(I8:I218=I56)*(N8:N218=TRUE)*(O8:O218=TRUE),0))/IF(SUM(_xlfn._xlws.FILTER(AE8:AE218,(E8:E218=E56)*(F8:F218=F56)*(G8:G218=G56)*(H8:H218=H56)*(I8:I218=I56)*(N8:N218=TRUE)*(O8:O218=TRUE),0))=0,1,SUM(_xlfn._xlws.FILTER(AE8:AE218,(E8:E218=E56)*(F8:F218=F56)*(G8:G218=G56)*(H8:H218=H56)*(I8:I218=I56)*(N8:N218=TRUE)*(O8:O218=TRUE),0)))</f>
        <v>0</v>
      </c>
      <c r="AE56" s="63">
        <v>1</v>
      </c>
      <c r="AF56" s="63" t="s">
        <v>234</v>
      </c>
      <c r="AG56" s="63" t="s">
        <v>234</v>
      </c>
      <c r="AH56" s="73"/>
      <c r="AI56" s="63">
        <f>SUM(_xlfn._xlws.FILTER(AI8:AI218,(E8:E218=E56)*(F8:F218=F56)*(G8:G218=G56)*(H8:H218=H56)*(I8:I218=I56)*(N8:N218=TRUE)*(O8:O218=TRUE),0))</f>
        <v>0</v>
      </c>
      <c r="AJ56" s="63"/>
      <c r="AK56" s="63"/>
      <c r="AL56" s="63">
        <f>SUM(_xlfn._xlws.FILTER(AL8:AL218,(E8:E218=E56)*(F8:F218=F56)*(G8:G218=G56)*(H8:H218=H56)*(I8:I218=I56)*(N8:N218=TRUE)*(O8:O218=TRUE),0))</f>
        <v>0</v>
      </c>
      <c r="AM56" s="63">
        <f>SUM(_xlfn._xlws.FILTER(AM8:AM218,(E8:E218=E56)*(F8:F218=F56)*(G8:G218=G56)*(H8:H218=H56)*(I8:I218=I56)*(N8:N218=TRUE)*(O8:O218=TRUE),0))</f>
        <v>0</v>
      </c>
      <c r="AN56" s="63"/>
      <c r="AO56" s="63"/>
      <c r="AP56" s="63" t="s">
        <v>234</v>
      </c>
      <c r="AQ56" s="63" t="s">
        <v>234</v>
      </c>
    </row>
    <row r="57" spans="2:43" ht="18" customHeight="1">
      <c r="B57" s="63"/>
      <c r="C57" s="63" t="s">
        <v>257</v>
      </c>
      <c r="D57" s="63" t="s">
        <v>257</v>
      </c>
      <c r="E57" s="63">
        <v>1</v>
      </c>
      <c r="F57" s="63">
        <v>1</v>
      </c>
      <c r="G57" s="63">
        <v>2</v>
      </c>
      <c r="H57" s="63">
        <v>1</v>
      </c>
      <c r="I57" s="63">
        <v>2</v>
      </c>
      <c r="J57" s="63">
        <v>1</v>
      </c>
      <c r="K57" s="72" t="str">
        <f t="shared" si="0"/>
        <v>001.001.002.001.002.001</v>
      </c>
      <c r="L57" s="72">
        <f t="shared" si="1"/>
        <v>1</v>
      </c>
      <c r="M57" s="72">
        <f t="shared" si="2"/>
        <v>5</v>
      </c>
      <c r="N57" s="72" t="b">
        <f t="shared" si="3"/>
        <v>1</v>
      </c>
      <c r="O57" s="72" t="b">
        <f t="shared" si="4"/>
        <v>1</v>
      </c>
      <c r="P57" s="72" t="b">
        <f t="shared" si="5"/>
        <v>1</v>
      </c>
      <c r="Q57" s="72" t="b">
        <f t="shared" si="6"/>
        <v>0</v>
      </c>
      <c r="R57" s="72" t="str">
        <f t="shared" si="7"/>
        <v>1.1.2.1.2.T1</v>
      </c>
      <c r="X57" s="60" t="s">
        <v>253</v>
      </c>
      <c r="Z57" s="63">
        <v>1</v>
      </c>
      <c r="AA57" s="63">
        <f>IF(AB57="完了",1,0)</f>
        <v>0</v>
      </c>
      <c r="AB57" s="63" t="s">
        <v>234</v>
      </c>
      <c r="AC57" s="63">
        <f>AM57/IF(AL57+AM57=0,1,AL57+AM57)</f>
        <v>0</v>
      </c>
      <c r="AD57" s="71"/>
      <c r="AE57" s="63">
        <v>1</v>
      </c>
      <c r="AF57" s="63" t="s">
        <v>234</v>
      </c>
      <c r="AG57" s="63" t="s">
        <v>234</v>
      </c>
      <c r="AH57" s="73"/>
      <c r="AI57" s="63"/>
      <c r="AJ57" s="63"/>
      <c r="AK57" s="63"/>
      <c r="AL57" s="63"/>
      <c r="AM57" s="63"/>
      <c r="AN57" s="63"/>
      <c r="AO57" s="63"/>
      <c r="AP57" s="63" t="s">
        <v>234</v>
      </c>
      <c r="AQ57" s="63" t="s">
        <v>234</v>
      </c>
    </row>
    <row r="58" spans="2:43" ht="18" customHeight="1">
      <c r="B58" s="63"/>
      <c r="C58" s="63" t="s">
        <v>257</v>
      </c>
      <c r="D58" s="63" t="s">
        <v>257</v>
      </c>
      <c r="E58" s="63">
        <v>1</v>
      </c>
      <c r="F58" s="63">
        <v>1</v>
      </c>
      <c r="G58" s="63">
        <v>2</v>
      </c>
      <c r="H58" s="63">
        <v>1</v>
      </c>
      <c r="I58" s="63">
        <v>2</v>
      </c>
      <c r="J58" s="63">
        <v>2</v>
      </c>
      <c r="K58" s="72" t="str">
        <f t="shared" si="0"/>
        <v>001.001.002.001.002.002</v>
      </c>
      <c r="L58" s="72">
        <f t="shared" si="1"/>
        <v>1</v>
      </c>
      <c r="M58" s="72">
        <f t="shared" si="2"/>
        <v>5</v>
      </c>
      <c r="N58" s="72" t="b">
        <f t="shared" si="3"/>
        <v>1</v>
      </c>
      <c r="O58" s="72" t="b">
        <f t="shared" si="4"/>
        <v>1</v>
      </c>
      <c r="P58" s="72" t="b">
        <f t="shared" si="5"/>
        <v>1</v>
      </c>
      <c r="Q58" s="72" t="b">
        <f t="shared" si="6"/>
        <v>0</v>
      </c>
      <c r="R58" s="72" t="str">
        <f t="shared" si="7"/>
        <v>1.1.2.1.2.T2</v>
      </c>
      <c r="X58" s="60" t="s">
        <v>254</v>
      </c>
      <c r="Z58" s="63">
        <v>1</v>
      </c>
      <c r="AA58" s="63">
        <f>IF(AB58="完了",1,0)</f>
        <v>0</v>
      </c>
      <c r="AB58" s="63" t="s">
        <v>234</v>
      </c>
      <c r="AC58" s="63">
        <f>AM58/IF(AL58+AM58=0,1,AL58+AM58)</f>
        <v>0</v>
      </c>
      <c r="AD58" s="71"/>
      <c r="AE58" s="63">
        <v>1</v>
      </c>
      <c r="AF58" s="63" t="s">
        <v>234</v>
      </c>
      <c r="AG58" s="63" t="s">
        <v>234</v>
      </c>
      <c r="AH58" s="73"/>
      <c r="AI58" s="63"/>
      <c r="AJ58" s="63"/>
      <c r="AK58" s="63"/>
      <c r="AL58" s="63"/>
      <c r="AM58" s="63"/>
      <c r="AN58" s="63"/>
      <c r="AO58" s="63"/>
      <c r="AP58" s="63" t="s">
        <v>234</v>
      </c>
      <c r="AQ58" s="63" t="s">
        <v>234</v>
      </c>
    </row>
    <row r="59" spans="2:43" ht="18" customHeight="1">
      <c r="B59" s="63"/>
      <c r="C59" s="63" t="s">
        <v>257</v>
      </c>
      <c r="D59" s="63" t="s">
        <v>257</v>
      </c>
      <c r="E59" s="63">
        <v>1</v>
      </c>
      <c r="F59" s="63">
        <v>1</v>
      </c>
      <c r="G59" s="63">
        <v>2</v>
      </c>
      <c r="H59" s="63">
        <v>1</v>
      </c>
      <c r="I59" s="63">
        <v>2</v>
      </c>
      <c r="J59" s="63">
        <v>3</v>
      </c>
      <c r="K59" s="72" t="str">
        <f t="shared" si="0"/>
        <v>001.001.002.001.002.003</v>
      </c>
      <c r="L59" s="72">
        <f t="shared" si="1"/>
        <v>1</v>
      </c>
      <c r="M59" s="72">
        <f t="shared" si="2"/>
        <v>5</v>
      </c>
      <c r="N59" s="72" t="b">
        <f t="shared" si="3"/>
        <v>1</v>
      </c>
      <c r="O59" s="72" t="b">
        <f t="shared" si="4"/>
        <v>1</v>
      </c>
      <c r="P59" s="72" t="b">
        <f t="shared" si="5"/>
        <v>1</v>
      </c>
      <c r="Q59" s="72" t="b">
        <f t="shared" si="6"/>
        <v>0</v>
      </c>
      <c r="R59" s="72" t="str">
        <f t="shared" si="7"/>
        <v>1.1.2.1.2.T3</v>
      </c>
      <c r="Z59" s="63">
        <v>1</v>
      </c>
      <c r="AA59" s="63">
        <f>IF(AB59="完了",1,0)</f>
        <v>0</v>
      </c>
      <c r="AB59" s="63" t="s">
        <v>234</v>
      </c>
      <c r="AC59" s="63">
        <f>AM59/IF(AL59+AM59=0,1,AL59+AM59)</f>
        <v>0</v>
      </c>
      <c r="AD59" s="71"/>
      <c r="AE59" s="63">
        <v>1</v>
      </c>
      <c r="AF59" s="63" t="s">
        <v>234</v>
      </c>
      <c r="AG59" s="63" t="s">
        <v>234</v>
      </c>
      <c r="AH59" s="73"/>
      <c r="AI59" s="63"/>
      <c r="AJ59" s="63"/>
      <c r="AK59" s="63"/>
      <c r="AL59" s="63"/>
      <c r="AM59" s="63"/>
      <c r="AN59" s="63"/>
      <c r="AO59" s="63"/>
      <c r="AP59" s="63" t="s">
        <v>234</v>
      </c>
      <c r="AQ59" s="63" t="s">
        <v>234</v>
      </c>
    </row>
    <row r="60" spans="2:43" ht="18" customHeight="1">
      <c r="B60" s="63"/>
      <c r="C60" s="63" t="s">
        <v>257</v>
      </c>
      <c r="D60" s="63" t="s">
        <v>257</v>
      </c>
      <c r="E60" s="63">
        <v>1</v>
      </c>
      <c r="F60" s="63">
        <v>1</v>
      </c>
      <c r="G60" s="63">
        <v>2</v>
      </c>
      <c r="H60" s="63">
        <v>2</v>
      </c>
      <c r="I60" s="63"/>
      <c r="J60" s="63"/>
      <c r="K60" s="72" t="str">
        <f t="shared" si="0"/>
        <v>001.001.002.002.---.---</v>
      </c>
      <c r="L60" s="72">
        <f t="shared" si="1"/>
        <v>1</v>
      </c>
      <c r="M60" s="72">
        <f t="shared" si="2"/>
        <v>4</v>
      </c>
      <c r="N60" s="72" t="b">
        <f t="shared" si="3"/>
        <v>0</v>
      </c>
      <c r="O60" s="72" t="b">
        <f t="shared" si="4"/>
        <v>1</v>
      </c>
      <c r="P60" s="72" t="b">
        <f t="shared" si="5"/>
        <v>1</v>
      </c>
      <c r="Q60" s="72" t="b">
        <f t="shared" si="6"/>
        <v>1</v>
      </c>
      <c r="R60" s="72" t="str">
        <f t="shared" si="7"/>
        <v>1.1.2.2</v>
      </c>
      <c r="Z60" s="63">
        <f>SUM(_xlfn._xlws.FILTER(Z8:Z218,(E8:E218=E60)*(F8:F218=F60)*(G8:G218=G60)*(H8:H218=H60)*(ISNUMBER(I8:I218))*(N8:N218=FALSE)*(O8:O218=TRUE),0))+SUM(_xlfn._xlws.FILTER(Z8:Z218,(E8:E218=E60)*(F8:F218=F60)*(G8:G218=G60)*(H8:H218=H60)*(I8:I218="")*(N8:N218=TRUE)*(O8:O218=TRUE),0))</f>
        <v>9</v>
      </c>
      <c r="AA60" s="63">
        <f>SUM(_xlfn._xlws.FILTER(AA8:AA218,(E8:E218=E60)*(F8:F218=F60)*(G8:G218=G60)*(H8:H218=H60)*(ISNUMBER(I8:I218))*(N8:N218=FALSE)*(O8:O218=TRUE),0))+SUM(_xlfn._xlws.FILTER(AA8:AA218,(E8:E218=E60)*(F8:F218=F60)*(G8:G218=G60)*(H8:H218=H60)*(I8:I218="")*(N8:N218=TRUE)*(O8:O218=TRUE),0))</f>
        <v>1</v>
      </c>
      <c r="AB60" s="63" t="s">
        <v>234</v>
      </c>
      <c r="AC60" s="63">
        <f>(SUM(_xlfn._xlws.FILTER(AC8:AC218,(E8:E218=E60)*(F8:F218=F60)*(G8:G218=G60)*(H8:H218=H60)*(ISNUMBER(I8:I218))*(N8:N218=FALSE)*(O8:O218=TRUE),0))+SUM(_xlfn._xlws.FILTER(AC8:AC218,(E8:E218=E60)*(F8:F218=F60)*(G8:G218=G60)*(H8:H218=H60)*(I8:I218="")*(N8:N218=TRUE)*(O8:O218=TRUE),0)))/IF(IFERROR(COUNT(_xlfn._xlws.FILTER(AC8:AC218,(E8:E218=E60)*(F8:F218=F60)*(G8:G218=G60)*(H8:H218=H60)*(ISNUMBER(I8:I218))*(N8:N218=FALSE)*(O8:O218=TRUE))),0)+IFERROR(COUNT(_xlfn._xlws.FILTER(AC8:AC218,(E8:E218=E60)*(F8:F218=F60)*(G8:G218=G60)*(H8:H218=H60)*(I8:I218="")*(N8:N218=TRUE)*(O8:O218=TRUE))),0)=0,1,IFERROR(COUNT(_xlfn._xlws.FILTER(AC8:AC218,(E8:E218=E60)*(F8:F218=F60)*(G8:G218=G60)*(H8:H218=H60)*(ISNUMBER(I8:I218))*(N8:N218=FALSE)*(O8:O218=TRUE))),0)+IFERROR(COUNT(_xlfn._xlws.FILTER(AC8:AC218,(E8:E218=E60)*(F8:F218=F60)*(G8:G218=G60)*(H8:H218=H60)*(I8:I218="")*(N8:N218=TRUE)*(O8:O218=TRUE))),0))</f>
        <v>0</v>
      </c>
      <c r="AD60" s="71">
        <f>(SUM(_xlfn._xlws.FILTER(AD8:AD218*(AE8:AE218),(E8:E218=E60)*(F8:F218=F60)*(G8:G218=G60)*(H8:H218=H60)*(ISNUMBER(I8:I218))*(N8:N218=FALSE)*(O8:O218=TRUE),0))+SUM(_xlfn._xlws.FILTER(AD8:AD218*(AE8:AE218),(E8:E218=E60)*(F8:F218=F60)*(G8:G218=G60)*(H8:H218=H60)*(I8:I218="")*(N8:N218=TRUE)*(O8:O218=TRUE),0)))/IF(SUM(_xlfn._xlws.FILTER(AE8:AE218,(E8:E218=E60)*(F8:F218=F60)*(G8:G218=G60)*(H8:H218=H60)*(ISNUMBER(I8:I218))*(N8:N218=FALSE)*(O8:O218=TRUE),0))+SUM(_xlfn._xlws.FILTER(AE8:AE218,(E8:E218=E60)*(F8:F218=F60)*(G8:G218=G60)*(H8:H218=H60)*(I8:I218="")*(N8:N218=TRUE)*(O8:O218=TRUE),0))=0,1,SUM(_xlfn._xlws.FILTER(AE8:AE218,(E8:E218=E60)*(F8:F218=F60)*(G8:G218=G60)*(H8:H218=H60)*(ISNUMBER(I8:I218))*(N8:N218=FALSE)*(O8:O218=TRUE),0))+SUM(_xlfn._xlws.FILTER(AE8:AE218,(E8:E218=E60)*(F8:F218=F60)*(G8:G218=G60)*(H8:H218=H60)*(I8:I218="")*(N8:N218=TRUE)*(O8:O218=TRUE),0)))</f>
        <v>0</v>
      </c>
      <c r="AE60" s="63">
        <v>1</v>
      </c>
      <c r="AF60" s="63" t="s">
        <v>234</v>
      </c>
      <c r="AG60" s="63" t="s">
        <v>234</v>
      </c>
      <c r="AH60" s="73"/>
      <c r="AI60" s="63">
        <f>SUM(_xlfn._xlws.FILTER(AI8:AI218,(E8:E218=E60)*(F8:F218=F60)*(G8:G218=G60)*(H8:H218=H60)*(ISNUMBER(I8:I218))*(N8:N218=FALSE)*(O8:O218=TRUE),0))+SUM(_xlfn._xlws.FILTER(AI8:AI218,(E8:E218=E60)*(F8:F218=F60)*(G8:G218=G60)*(H8:H218=H60)*(I8:I218="")*(N8:N218=TRUE)*(O8:O218=TRUE),0))</f>
        <v>0</v>
      </c>
      <c r="AJ60" s="63"/>
      <c r="AK60" s="63"/>
      <c r="AL60" s="63">
        <f>SUM(_xlfn._xlws.FILTER(AL8:AL218,(E8:E218=E60)*(F8:F218=F60)*(G8:G218=G60)*(H8:H218=H60)*(ISNUMBER(I8:I218))*(N8:N218=FALSE)*(O8:O218=TRUE),0))+SUM(_xlfn._xlws.FILTER(AL8:AL218,(E8:E218=E60)*(F8:F218=F60)*(G8:G218=G60)*(H8:H218=H60)*(I8:I218="")*(N8:N218=TRUE)*(O8:O218=TRUE),0))</f>
        <v>0</v>
      </c>
      <c r="AM60" s="63">
        <f>SUM(_xlfn._xlws.FILTER(AM8:AM218,(E8:E218=E60)*(F8:F218=F60)*(G8:G218=G60)*(H8:H218=H60)*(ISNUMBER(I8:I218))*(N8:N218=FALSE)*(O8:O218=TRUE),0))+SUM(_xlfn._xlws.FILTER(AM8:AM218,(E8:E218=E60)*(F8:F218=F60)*(G8:G218=G60)*(H8:H218=H60)*(I8:I218="")*(N8:N218=TRUE)*(O8:O218=TRUE),0))</f>
        <v>0</v>
      </c>
      <c r="AN60" s="63"/>
      <c r="AO60" s="63"/>
      <c r="AP60" s="63" t="s">
        <v>234</v>
      </c>
      <c r="AQ60" s="63" t="s">
        <v>234</v>
      </c>
    </row>
    <row r="61" spans="2:43" ht="18" customHeight="1">
      <c r="B61" s="63"/>
      <c r="C61" s="63" t="s">
        <v>257</v>
      </c>
      <c r="D61" s="63" t="s">
        <v>257</v>
      </c>
      <c r="E61" s="63">
        <v>1</v>
      </c>
      <c r="F61" s="63">
        <v>1</v>
      </c>
      <c r="G61" s="63">
        <v>2</v>
      </c>
      <c r="H61" s="63">
        <v>2</v>
      </c>
      <c r="I61" s="63"/>
      <c r="J61" s="63">
        <v>1</v>
      </c>
      <c r="K61" s="72" t="str">
        <f t="shared" si="0"/>
        <v>001.001.002.002.---.001</v>
      </c>
      <c r="L61" s="72">
        <f t="shared" si="1"/>
        <v>1</v>
      </c>
      <c r="M61" s="72">
        <f t="shared" si="2"/>
        <v>4</v>
      </c>
      <c r="N61" s="72" t="b">
        <f t="shared" si="3"/>
        <v>1</v>
      </c>
      <c r="O61" s="72" t="b">
        <f t="shared" si="4"/>
        <v>1</v>
      </c>
      <c r="P61" s="72" t="b">
        <f t="shared" si="5"/>
        <v>1</v>
      </c>
      <c r="Q61" s="72" t="b">
        <f t="shared" si="6"/>
        <v>0</v>
      </c>
      <c r="R61" s="72" t="str">
        <f t="shared" si="7"/>
        <v>1.1.2.2.T1</v>
      </c>
      <c r="X61" s="60" t="s">
        <v>248</v>
      </c>
      <c r="Z61" s="63">
        <v>1</v>
      </c>
      <c r="AA61" s="63">
        <f>IF(AB61="完了",1,0)</f>
        <v>1</v>
      </c>
      <c r="AB61" s="63" t="s">
        <v>204</v>
      </c>
      <c r="AC61" s="63">
        <f>AM61/IF(AL61+AM61=0,1,AL61+AM61)</f>
        <v>0</v>
      </c>
      <c r="AD61" s="71"/>
      <c r="AE61" s="63">
        <v>1</v>
      </c>
      <c r="AF61" s="63" t="s">
        <v>234</v>
      </c>
      <c r="AG61" s="63" t="s">
        <v>234</v>
      </c>
      <c r="AH61" s="73"/>
      <c r="AI61" s="63"/>
      <c r="AJ61" s="63"/>
      <c r="AK61" s="63"/>
      <c r="AL61" s="63"/>
      <c r="AM61" s="63"/>
      <c r="AN61" s="63"/>
      <c r="AO61" s="63"/>
      <c r="AP61" s="63" t="s">
        <v>234</v>
      </c>
      <c r="AQ61" s="63" t="s">
        <v>234</v>
      </c>
    </row>
    <row r="62" spans="2:43" ht="18" customHeight="1">
      <c r="B62" s="63"/>
      <c r="C62" s="63" t="s">
        <v>257</v>
      </c>
      <c r="D62" s="63" t="s">
        <v>257</v>
      </c>
      <c r="E62" s="63">
        <v>1</v>
      </c>
      <c r="F62" s="63">
        <v>1</v>
      </c>
      <c r="G62" s="63">
        <v>2</v>
      </c>
      <c r="H62" s="63">
        <v>2</v>
      </c>
      <c r="I62" s="63"/>
      <c r="J62" s="63">
        <v>2</v>
      </c>
      <c r="K62" s="72" t="str">
        <f t="shared" si="0"/>
        <v>001.001.002.002.---.002</v>
      </c>
      <c r="L62" s="72">
        <f t="shared" si="1"/>
        <v>1</v>
      </c>
      <c r="M62" s="72">
        <f t="shared" si="2"/>
        <v>4</v>
      </c>
      <c r="N62" s="72" t="b">
        <f t="shared" si="3"/>
        <v>1</v>
      </c>
      <c r="O62" s="72" t="b">
        <f t="shared" si="4"/>
        <v>1</v>
      </c>
      <c r="P62" s="72" t="b">
        <f t="shared" si="5"/>
        <v>1</v>
      </c>
      <c r="Q62" s="72" t="b">
        <f t="shared" si="6"/>
        <v>0</v>
      </c>
      <c r="R62" s="72" t="str">
        <f t="shared" si="7"/>
        <v>1.1.2.2.T2</v>
      </c>
      <c r="X62" s="60" t="s">
        <v>249</v>
      </c>
      <c r="Z62" s="63">
        <v>1</v>
      </c>
      <c r="AA62" s="63">
        <f>IF(AB62="完了",1,0)</f>
        <v>0</v>
      </c>
      <c r="AB62" s="63" t="s">
        <v>250</v>
      </c>
      <c r="AC62" s="63">
        <f>AM62/IF(AL62+AM62=0,1,AL62+AM62)</f>
        <v>0</v>
      </c>
      <c r="AD62" s="71"/>
      <c r="AE62" s="63">
        <v>1</v>
      </c>
      <c r="AF62" s="63" t="s">
        <v>234</v>
      </c>
      <c r="AG62" s="63" t="s">
        <v>234</v>
      </c>
      <c r="AH62" s="73"/>
      <c r="AI62" s="63"/>
      <c r="AJ62" s="63"/>
      <c r="AK62" s="63"/>
      <c r="AL62" s="63"/>
      <c r="AM62" s="63"/>
      <c r="AN62" s="63"/>
      <c r="AO62" s="63"/>
      <c r="AP62" s="63" t="s">
        <v>234</v>
      </c>
      <c r="AQ62" s="63" t="s">
        <v>234</v>
      </c>
    </row>
    <row r="63" spans="2:43" ht="18" customHeight="1">
      <c r="B63" s="63"/>
      <c r="C63" s="63" t="s">
        <v>257</v>
      </c>
      <c r="D63" s="63" t="s">
        <v>257</v>
      </c>
      <c r="E63" s="63">
        <v>1</v>
      </c>
      <c r="F63" s="63">
        <v>1</v>
      </c>
      <c r="G63" s="63">
        <v>2</v>
      </c>
      <c r="H63" s="63">
        <v>2</v>
      </c>
      <c r="I63" s="63"/>
      <c r="J63" s="63">
        <v>3</v>
      </c>
      <c r="K63" s="72" t="str">
        <f t="shared" si="0"/>
        <v>001.001.002.002.---.003</v>
      </c>
      <c r="L63" s="72">
        <f t="shared" si="1"/>
        <v>1</v>
      </c>
      <c r="M63" s="72">
        <f t="shared" si="2"/>
        <v>4</v>
      </c>
      <c r="N63" s="72" t="b">
        <f t="shared" si="3"/>
        <v>1</v>
      </c>
      <c r="O63" s="72" t="b">
        <f t="shared" si="4"/>
        <v>1</v>
      </c>
      <c r="P63" s="72" t="b">
        <f t="shared" si="5"/>
        <v>1</v>
      </c>
      <c r="Q63" s="72" t="b">
        <f t="shared" si="6"/>
        <v>0</v>
      </c>
      <c r="R63" s="72" t="str">
        <f t="shared" si="7"/>
        <v>1.1.2.2.T3</v>
      </c>
      <c r="X63" s="60" t="s">
        <v>251</v>
      </c>
      <c r="Z63" s="63">
        <v>1</v>
      </c>
      <c r="AA63" s="63">
        <f>IF(AB63="完了",1,0)</f>
        <v>0</v>
      </c>
      <c r="AB63" s="63" t="s">
        <v>234</v>
      </c>
      <c r="AC63" s="63">
        <f>AM63/IF(AL63+AM63=0,1,AL63+AM63)</f>
        <v>0</v>
      </c>
      <c r="AD63" s="71"/>
      <c r="AE63" s="63">
        <v>1</v>
      </c>
      <c r="AF63" s="63" t="s">
        <v>234</v>
      </c>
      <c r="AG63" s="63" t="s">
        <v>234</v>
      </c>
      <c r="AH63" s="73"/>
      <c r="AI63" s="63"/>
      <c r="AJ63" s="63"/>
      <c r="AK63" s="63"/>
      <c r="AL63" s="63"/>
      <c r="AM63" s="63"/>
      <c r="AN63" s="63"/>
      <c r="AO63" s="63"/>
      <c r="AP63" s="63" t="s">
        <v>234</v>
      </c>
      <c r="AQ63" s="63" t="s">
        <v>234</v>
      </c>
    </row>
    <row r="64" spans="2:43" ht="18" customHeight="1">
      <c r="B64" s="63"/>
      <c r="C64" s="63" t="s">
        <v>257</v>
      </c>
      <c r="D64" s="63" t="s">
        <v>257</v>
      </c>
      <c r="E64" s="63">
        <v>1</v>
      </c>
      <c r="F64" s="63">
        <v>1</v>
      </c>
      <c r="G64" s="63">
        <v>2</v>
      </c>
      <c r="H64" s="63">
        <v>2</v>
      </c>
      <c r="I64" s="63">
        <v>1</v>
      </c>
      <c r="J64" s="63"/>
      <c r="K64" s="72" t="str">
        <f t="shared" si="0"/>
        <v>001.001.002.002.001.---</v>
      </c>
      <c r="L64" s="72">
        <f t="shared" si="1"/>
        <v>1</v>
      </c>
      <c r="M64" s="72">
        <f t="shared" si="2"/>
        <v>5</v>
      </c>
      <c r="N64" s="72" t="b">
        <f t="shared" si="3"/>
        <v>0</v>
      </c>
      <c r="O64" s="72" t="b">
        <f t="shared" si="4"/>
        <v>1</v>
      </c>
      <c r="P64" s="72" t="b">
        <f t="shared" si="5"/>
        <v>1</v>
      </c>
      <c r="Q64" s="72" t="b">
        <f t="shared" si="6"/>
        <v>1</v>
      </c>
      <c r="R64" s="72" t="str">
        <f t="shared" si="7"/>
        <v>1.1.2.2.1</v>
      </c>
      <c r="W64" s="60" t="s">
        <v>252</v>
      </c>
      <c r="Z64" s="63">
        <f>SUM(_xlfn._xlws.FILTER(Z8:Z218,(E8:E218=E64)*(F8:F218=F64)*(G8:G218=G64)*(H8:H218=H64)*(I8:I218=I64)*(N8:N218=TRUE)*(O8:O218=TRUE),0))</f>
        <v>3</v>
      </c>
      <c r="AA64" s="63">
        <f>SUM(_xlfn._xlws.FILTER(AA8:AA218,(E8:E218=E64)*(F8:F218=F64)*(G8:G218=G64)*(H8:H218=H64)*(I8:I218=I64)*(N8:N218=TRUE)*(O8:O218=TRUE),0))</f>
        <v>0</v>
      </c>
      <c r="AB64" s="63" t="s">
        <v>234</v>
      </c>
      <c r="AC64" s="63">
        <f>SUM(_xlfn._xlws.FILTER(AC8:AC218,(E8:E218=E64)*(F8:F218=F64)*(G8:G218=G64)*(H8:H218=H64)*(I8:I218=I64)*(N8:N218=TRUE)*(O8:O218=TRUE),0))/IF(IFERROR(COUNT(_xlfn._xlws.FILTER(AC8:AC218,(E8:E218=E64)*(F8:F218=F64)*(G8:G218=G64)*(H8:H218=H64)*(I8:I218=I64)*(N8:N218=TRUE)*(O8:O218=TRUE))),0)=0,1,IFERROR(COUNT(_xlfn._xlws.FILTER(AC8:AC218,(E8:E218=E64)*(F8:F218=F64)*(G8:G218=G64)*(H8:H218=H64)*(I8:I218=I64)*(N8:N218=TRUE)*(O8:O218=TRUE))),0))</f>
        <v>0</v>
      </c>
      <c r="AD64" s="71">
        <f>SUM(_xlfn._xlws.FILTER(AD8:AD218*(AE8:AE218),(E8:E218=E64)*(F8:F218=F64)*(G8:G218=G64)*(H8:H218=H64)*(I8:I218=I64)*(N8:N218=TRUE)*(O8:O218=TRUE),0))/IF(SUM(_xlfn._xlws.FILTER(AE8:AE218,(E8:E218=E64)*(F8:F218=F64)*(G8:G218=G64)*(H8:H218=H64)*(I8:I218=I64)*(N8:N218=TRUE)*(O8:O218=TRUE),0))=0,1,SUM(_xlfn._xlws.FILTER(AE8:AE218,(E8:E218=E64)*(F8:F218=F64)*(G8:G218=G64)*(H8:H218=H64)*(I8:I218=I64)*(N8:N218=TRUE)*(O8:O218=TRUE),0)))</f>
        <v>0</v>
      </c>
      <c r="AE64" s="63">
        <v>1</v>
      </c>
      <c r="AF64" s="63" t="s">
        <v>234</v>
      </c>
      <c r="AG64" s="63" t="s">
        <v>234</v>
      </c>
      <c r="AH64" s="73"/>
      <c r="AI64" s="63">
        <f>SUM(_xlfn._xlws.FILTER(AI8:AI218,(E8:E218=E64)*(F8:F218=F64)*(G8:G218=G64)*(H8:H218=H64)*(I8:I218=I64)*(N8:N218=TRUE)*(O8:O218=TRUE),0))</f>
        <v>0</v>
      </c>
      <c r="AJ64" s="63"/>
      <c r="AK64" s="63"/>
      <c r="AL64" s="63">
        <f>SUM(_xlfn._xlws.FILTER(AL8:AL218,(E8:E218=E64)*(F8:F218=F64)*(G8:G218=G64)*(H8:H218=H64)*(I8:I218=I64)*(N8:N218=TRUE)*(O8:O218=TRUE),0))</f>
        <v>0</v>
      </c>
      <c r="AM64" s="63">
        <f>SUM(_xlfn._xlws.FILTER(AM8:AM218,(E8:E218=E64)*(F8:F218=F64)*(G8:G218=G64)*(H8:H218=H64)*(I8:I218=I64)*(N8:N218=TRUE)*(O8:O218=TRUE),0))</f>
        <v>0</v>
      </c>
      <c r="AN64" s="63"/>
      <c r="AO64" s="63"/>
      <c r="AP64" s="63" t="s">
        <v>234</v>
      </c>
      <c r="AQ64" s="63" t="s">
        <v>234</v>
      </c>
    </row>
    <row r="65" spans="2:43" ht="18" customHeight="1">
      <c r="B65" s="63"/>
      <c r="C65" s="63" t="s">
        <v>257</v>
      </c>
      <c r="D65" s="63" t="s">
        <v>257</v>
      </c>
      <c r="E65" s="63">
        <v>1</v>
      </c>
      <c r="F65" s="63">
        <v>1</v>
      </c>
      <c r="G65" s="63">
        <v>2</v>
      </c>
      <c r="H65" s="63">
        <v>2</v>
      </c>
      <c r="I65" s="63">
        <v>1</v>
      </c>
      <c r="J65" s="63">
        <v>1</v>
      </c>
      <c r="K65" s="72" t="str">
        <f t="shared" si="0"/>
        <v>001.001.002.002.001.001</v>
      </c>
      <c r="L65" s="72">
        <f t="shared" si="1"/>
        <v>1</v>
      </c>
      <c r="M65" s="72">
        <f t="shared" si="2"/>
        <v>5</v>
      </c>
      <c r="N65" s="72" t="b">
        <f t="shared" si="3"/>
        <v>1</v>
      </c>
      <c r="O65" s="72" t="b">
        <f t="shared" si="4"/>
        <v>1</v>
      </c>
      <c r="P65" s="72" t="b">
        <f t="shared" si="5"/>
        <v>1</v>
      </c>
      <c r="Q65" s="72" t="b">
        <f t="shared" si="6"/>
        <v>0</v>
      </c>
      <c r="R65" s="72" t="str">
        <f t="shared" si="7"/>
        <v>1.1.2.2.1.T1</v>
      </c>
      <c r="X65" s="60" t="s">
        <v>253</v>
      </c>
      <c r="Z65" s="63">
        <v>1</v>
      </c>
      <c r="AA65" s="63">
        <f>IF(AB65="完了",1,0)</f>
        <v>0</v>
      </c>
      <c r="AB65" s="63" t="s">
        <v>234</v>
      </c>
      <c r="AC65" s="63">
        <f>AM65/IF(AL65+AM65=0,1,AL65+AM65)</f>
        <v>0</v>
      </c>
      <c r="AD65" s="71"/>
      <c r="AE65" s="63">
        <v>1</v>
      </c>
      <c r="AF65" s="63" t="s">
        <v>234</v>
      </c>
      <c r="AG65" s="63" t="s">
        <v>234</v>
      </c>
      <c r="AH65" s="73"/>
      <c r="AI65" s="63"/>
      <c r="AJ65" s="63"/>
      <c r="AK65" s="63"/>
      <c r="AL65" s="63"/>
      <c r="AM65" s="63"/>
      <c r="AN65" s="63"/>
      <c r="AO65" s="63"/>
      <c r="AP65" s="63" t="s">
        <v>234</v>
      </c>
      <c r="AQ65" s="63" t="s">
        <v>234</v>
      </c>
    </row>
    <row r="66" spans="2:43" ht="18" customHeight="1">
      <c r="B66" s="63"/>
      <c r="C66" s="63" t="s">
        <v>257</v>
      </c>
      <c r="D66" s="63" t="s">
        <v>257</v>
      </c>
      <c r="E66" s="63">
        <v>1</v>
      </c>
      <c r="F66" s="63">
        <v>1</v>
      </c>
      <c r="G66" s="63">
        <v>2</v>
      </c>
      <c r="H66" s="63">
        <v>2</v>
      </c>
      <c r="I66" s="63">
        <v>1</v>
      </c>
      <c r="J66" s="63">
        <v>2</v>
      </c>
      <c r="K66" s="72" t="str">
        <f t="shared" si="0"/>
        <v>001.001.002.002.001.002</v>
      </c>
      <c r="L66" s="72">
        <f t="shared" si="1"/>
        <v>1</v>
      </c>
      <c r="M66" s="72">
        <f t="shared" si="2"/>
        <v>5</v>
      </c>
      <c r="N66" s="72" t="b">
        <f t="shared" si="3"/>
        <v>1</v>
      </c>
      <c r="O66" s="72" t="b">
        <f t="shared" si="4"/>
        <v>1</v>
      </c>
      <c r="P66" s="72" t="b">
        <f t="shared" si="5"/>
        <v>1</v>
      </c>
      <c r="Q66" s="72" t="b">
        <f t="shared" si="6"/>
        <v>0</v>
      </c>
      <c r="R66" s="72" t="str">
        <f t="shared" si="7"/>
        <v>1.1.2.2.1.T2</v>
      </c>
      <c r="X66" s="60" t="s">
        <v>254</v>
      </c>
      <c r="Z66" s="63">
        <v>1</v>
      </c>
      <c r="AA66" s="63">
        <f>IF(AB66="完了",1,0)</f>
        <v>0</v>
      </c>
      <c r="AB66" s="63" t="s">
        <v>234</v>
      </c>
      <c r="AC66" s="63">
        <f>AM66/IF(AL66+AM66=0,1,AL66+AM66)</f>
        <v>0</v>
      </c>
      <c r="AD66" s="71"/>
      <c r="AE66" s="63">
        <v>1</v>
      </c>
      <c r="AF66" s="63" t="s">
        <v>234</v>
      </c>
      <c r="AG66" s="63" t="s">
        <v>234</v>
      </c>
      <c r="AH66" s="73"/>
      <c r="AI66" s="63"/>
      <c r="AJ66" s="63"/>
      <c r="AK66" s="63"/>
      <c r="AL66" s="63"/>
      <c r="AM66" s="63"/>
      <c r="AN66" s="63"/>
      <c r="AO66" s="63"/>
      <c r="AP66" s="63" t="s">
        <v>234</v>
      </c>
      <c r="AQ66" s="63" t="s">
        <v>234</v>
      </c>
    </row>
    <row r="67" spans="2:43" ht="18" customHeight="1">
      <c r="B67" s="63"/>
      <c r="C67" s="63" t="s">
        <v>257</v>
      </c>
      <c r="D67" s="63" t="s">
        <v>257</v>
      </c>
      <c r="E67" s="63">
        <v>1</v>
      </c>
      <c r="F67" s="63">
        <v>1</v>
      </c>
      <c r="G67" s="63">
        <v>2</v>
      </c>
      <c r="H67" s="63">
        <v>2</v>
      </c>
      <c r="I67" s="63">
        <v>1</v>
      </c>
      <c r="J67" s="63">
        <v>3</v>
      </c>
      <c r="K67" s="72" t="str">
        <f t="shared" si="0"/>
        <v>001.001.002.002.001.003</v>
      </c>
      <c r="L67" s="72">
        <f t="shared" si="1"/>
        <v>1</v>
      </c>
      <c r="M67" s="72">
        <f t="shared" si="2"/>
        <v>5</v>
      </c>
      <c r="N67" s="72" t="b">
        <f t="shared" si="3"/>
        <v>1</v>
      </c>
      <c r="O67" s="72" t="b">
        <f t="shared" si="4"/>
        <v>1</v>
      </c>
      <c r="P67" s="72" t="b">
        <f t="shared" si="5"/>
        <v>1</v>
      </c>
      <c r="Q67" s="72" t="b">
        <f t="shared" si="6"/>
        <v>0</v>
      </c>
      <c r="R67" s="72" t="str">
        <f t="shared" si="7"/>
        <v>1.1.2.2.1.T3</v>
      </c>
      <c r="Z67" s="63">
        <v>1</v>
      </c>
      <c r="AA67" s="63">
        <f>IF(AB67="完了",1,0)</f>
        <v>0</v>
      </c>
      <c r="AB67" s="63" t="s">
        <v>234</v>
      </c>
      <c r="AC67" s="63">
        <f>AM67/IF(AL67+AM67=0,1,AL67+AM67)</f>
        <v>0</v>
      </c>
      <c r="AD67" s="71"/>
      <c r="AE67" s="63">
        <v>1</v>
      </c>
      <c r="AF67" s="63" t="s">
        <v>234</v>
      </c>
      <c r="AG67" s="63" t="s">
        <v>234</v>
      </c>
      <c r="AH67" s="73"/>
      <c r="AI67" s="63"/>
      <c r="AJ67" s="63"/>
      <c r="AK67" s="63"/>
      <c r="AL67" s="63"/>
      <c r="AM67" s="63"/>
      <c r="AN67" s="63"/>
      <c r="AO67" s="63"/>
      <c r="AP67" s="63" t="s">
        <v>234</v>
      </c>
      <c r="AQ67" s="63" t="s">
        <v>234</v>
      </c>
    </row>
    <row r="68" spans="2:43" ht="18" customHeight="1">
      <c r="B68" s="63"/>
      <c r="C68" s="63" t="s">
        <v>257</v>
      </c>
      <c r="D68" s="63" t="s">
        <v>257</v>
      </c>
      <c r="E68" s="63">
        <v>1</v>
      </c>
      <c r="F68" s="63">
        <v>1</v>
      </c>
      <c r="G68" s="63">
        <v>2</v>
      </c>
      <c r="H68" s="63">
        <v>2</v>
      </c>
      <c r="I68" s="63">
        <v>2</v>
      </c>
      <c r="J68" s="63"/>
      <c r="K68" s="72" t="str">
        <f t="shared" si="0"/>
        <v>001.001.002.002.002.---</v>
      </c>
      <c r="L68" s="72">
        <f t="shared" si="1"/>
        <v>1</v>
      </c>
      <c r="M68" s="72">
        <f t="shared" si="2"/>
        <v>5</v>
      </c>
      <c r="N68" s="72" t="b">
        <f t="shared" si="3"/>
        <v>0</v>
      </c>
      <c r="O68" s="72" t="b">
        <f t="shared" si="4"/>
        <v>1</v>
      </c>
      <c r="P68" s="72" t="b">
        <f t="shared" si="5"/>
        <v>1</v>
      </c>
      <c r="Q68" s="72" t="b">
        <f t="shared" si="6"/>
        <v>1</v>
      </c>
      <c r="R68" s="72" t="str">
        <f t="shared" si="7"/>
        <v>1.1.2.2.2</v>
      </c>
      <c r="Z68" s="63">
        <f>SUM(_xlfn._xlws.FILTER(Z8:Z218,(E8:E218=E68)*(F8:F218=F68)*(G8:G218=G68)*(H8:H218=H68)*(I8:I218=I68)*(N8:N218=TRUE)*(O8:O218=TRUE),0))</f>
        <v>3</v>
      </c>
      <c r="AA68" s="63">
        <f>SUM(_xlfn._xlws.FILTER(AA8:AA218,(E8:E218=E68)*(F8:F218=F68)*(G8:G218=G68)*(H8:H218=H68)*(I8:I218=I68)*(N8:N218=TRUE)*(O8:O218=TRUE),0))</f>
        <v>0</v>
      </c>
      <c r="AB68" s="63" t="s">
        <v>234</v>
      </c>
      <c r="AC68" s="63">
        <f>SUM(_xlfn._xlws.FILTER(AC8:AC218,(E8:E218=E68)*(F8:F218=F68)*(G8:G218=G68)*(H8:H218=H68)*(I8:I218=I68)*(N8:N218=TRUE)*(O8:O218=TRUE),0))/IF(IFERROR(COUNT(_xlfn._xlws.FILTER(AC8:AC218,(E8:E218=E68)*(F8:F218=F68)*(G8:G218=G68)*(H8:H218=H68)*(I8:I218=I68)*(N8:N218=TRUE)*(O8:O218=TRUE))),0)=0,1,IFERROR(COUNT(_xlfn._xlws.FILTER(AC8:AC218,(E8:E218=E68)*(F8:F218=F68)*(G8:G218=G68)*(H8:H218=H68)*(I8:I218=I68)*(N8:N218=TRUE)*(O8:O218=TRUE))),0))</f>
        <v>0</v>
      </c>
      <c r="AD68" s="71">
        <f>SUM(_xlfn._xlws.FILTER(AD8:AD218*(AE8:AE218),(E8:E218=E68)*(F8:F218=F68)*(G8:G218=G68)*(H8:H218=H68)*(I8:I218=I68)*(N8:N218=TRUE)*(O8:O218=TRUE),0))/IF(SUM(_xlfn._xlws.FILTER(AE8:AE218,(E8:E218=E68)*(F8:F218=F68)*(G8:G218=G68)*(H8:H218=H68)*(I8:I218=I68)*(N8:N218=TRUE)*(O8:O218=TRUE),0))=0,1,SUM(_xlfn._xlws.FILTER(AE8:AE218,(E8:E218=E68)*(F8:F218=F68)*(G8:G218=G68)*(H8:H218=H68)*(I8:I218=I68)*(N8:N218=TRUE)*(O8:O218=TRUE),0)))</f>
        <v>0</v>
      </c>
      <c r="AE68" s="63">
        <v>1</v>
      </c>
      <c r="AF68" s="63" t="s">
        <v>234</v>
      </c>
      <c r="AG68" s="63" t="s">
        <v>234</v>
      </c>
      <c r="AH68" s="73"/>
      <c r="AI68" s="63">
        <f>SUM(_xlfn._xlws.FILTER(AI8:AI218,(E8:E218=E68)*(F8:F218=F68)*(G8:G218=G68)*(H8:H218=H68)*(I8:I218=I68)*(N8:N218=TRUE)*(O8:O218=TRUE),0))</f>
        <v>0</v>
      </c>
      <c r="AJ68" s="63"/>
      <c r="AK68" s="63"/>
      <c r="AL68" s="63">
        <f>SUM(_xlfn._xlws.FILTER(AL8:AL218,(E8:E218=E68)*(F8:F218=F68)*(G8:G218=G68)*(H8:H218=H68)*(I8:I218=I68)*(N8:N218=TRUE)*(O8:O218=TRUE),0))</f>
        <v>0</v>
      </c>
      <c r="AM68" s="63">
        <f>SUM(_xlfn._xlws.FILTER(AM8:AM218,(E8:E218=E68)*(F8:F218=F68)*(G8:G218=G68)*(H8:H218=H68)*(I8:I218=I68)*(N8:N218=TRUE)*(O8:O218=TRUE),0))</f>
        <v>0</v>
      </c>
      <c r="AN68" s="63"/>
      <c r="AO68" s="63"/>
      <c r="AP68" s="63" t="s">
        <v>234</v>
      </c>
      <c r="AQ68" s="63" t="s">
        <v>234</v>
      </c>
    </row>
    <row r="69" spans="2:43" ht="18" customHeight="1">
      <c r="B69" s="63"/>
      <c r="C69" s="63" t="s">
        <v>257</v>
      </c>
      <c r="D69" s="63" t="s">
        <v>257</v>
      </c>
      <c r="E69" s="63">
        <v>1</v>
      </c>
      <c r="F69" s="63">
        <v>1</v>
      </c>
      <c r="G69" s="63">
        <v>2</v>
      </c>
      <c r="H69" s="63">
        <v>2</v>
      </c>
      <c r="I69" s="63">
        <v>2</v>
      </c>
      <c r="J69" s="63">
        <v>1</v>
      </c>
      <c r="K69" s="72" t="str">
        <f t="shared" si="0"/>
        <v>001.001.002.002.002.001</v>
      </c>
      <c r="L69" s="72">
        <f t="shared" si="1"/>
        <v>1</v>
      </c>
      <c r="M69" s="72">
        <f t="shared" si="2"/>
        <v>5</v>
      </c>
      <c r="N69" s="72" t="b">
        <f t="shared" si="3"/>
        <v>1</v>
      </c>
      <c r="O69" s="72" t="b">
        <f t="shared" si="4"/>
        <v>1</v>
      </c>
      <c r="P69" s="72" t="b">
        <f t="shared" si="5"/>
        <v>1</v>
      </c>
      <c r="Q69" s="72" t="b">
        <f t="shared" si="6"/>
        <v>0</v>
      </c>
      <c r="R69" s="72" t="str">
        <f t="shared" si="7"/>
        <v>1.1.2.2.2.T1</v>
      </c>
      <c r="X69" s="60" t="s">
        <v>253</v>
      </c>
      <c r="Z69" s="63">
        <v>1</v>
      </c>
      <c r="AA69" s="63">
        <f>IF(AB69="完了",1,0)</f>
        <v>0</v>
      </c>
      <c r="AB69" s="63" t="s">
        <v>234</v>
      </c>
      <c r="AC69" s="63">
        <f>AM69/IF(AL69+AM69=0,1,AL69+AM69)</f>
        <v>0</v>
      </c>
      <c r="AD69" s="71"/>
      <c r="AE69" s="63">
        <v>1</v>
      </c>
      <c r="AF69" s="63" t="s">
        <v>234</v>
      </c>
      <c r="AG69" s="63" t="s">
        <v>234</v>
      </c>
      <c r="AH69" s="73"/>
      <c r="AI69" s="63"/>
      <c r="AJ69" s="63"/>
      <c r="AK69" s="63"/>
      <c r="AL69" s="63"/>
      <c r="AM69" s="63"/>
      <c r="AN69" s="63"/>
      <c r="AO69" s="63"/>
      <c r="AP69" s="63" t="s">
        <v>234</v>
      </c>
      <c r="AQ69" s="63" t="s">
        <v>234</v>
      </c>
    </row>
    <row r="70" spans="2:43" ht="18" customHeight="1">
      <c r="B70" s="63"/>
      <c r="C70" s="63" t="s">
        <v>257</v>
      </c>
      <c r="D70" s="63" t="s">
        <v>257</v>
      </c>
      <c r="E70" s="63">
        <v>1</v>
      </c>
      <c r="F70" s="63">
        <v>1</v>
      </c>
      <c r="G70" s="63">
        <v>2</v>
      </c>
      <c r="H70" s="63">
        <v>2</v>
      </c>
      <c r="I70" s="63">
        <v>2</v>
      </c>
      <c r="J70" s="63">
        <v>2</v>
      </c>
      <c r="K70" s="72" t="str">
        <f t="shared" si="0"/>
        <v>001.001.002.002.002.002</v>
      </c>
      <c r="L70" s="72">
        <f t="shared" si="1"/>
        <v>1</v>
      </c>
      <c r="M70" s="72">
        <f t="shared" si="2"/>
        <v>5</v>
      </c>
      <c r="N70" s="72" t="b">
        <f t="shared" si="3"/>
        <v>1</v>
      </c>
      <c r="O70" s="72" t="b">
        <f t="shared" si="4"/>
        <v>1</v>
      </c>
      <c r="P70" s="72" t="b">
        <f t="shared" si="5"/>
        <v>1</v>
      </c>
      <c r="Q70" s="72" t="b">
        <f t="shared" si="6"/>
        <v>0</v>
      </c>
      <c r="R70" s="72" t="str">
        <f t="shared" si="7"/>
        <v>1.1.2.2.2.T2</v>
      </c>
      <c r="X70" s="60" t="s">
        <v>254</v>
      </c>
      <c r="Z70" s="63">
        <v>1</v>
      </c>
      <c r="AA70" s="63">
        <f>IF(AB70="完了",1,0)</f>
        <v>0</v>
      </c>
      <c r="AB70" s="63" t="s">
        <v>234</v>
      </c>
      <c r="AC70" s="63">
        <f>AM70/IF(AL70+AM70=0,1,AL70+AM70)</f>
        <v>0</v>
      </c>
      <c r="AD70" s="71"/>
      <c r="AE70" s="63">
        <v>1</v>
      </c>
      <c r="AF70" s="63" t="s">
        <v>234</v>
      </c>
      <c r="AG70" s="63" t="s">
        <v>234</v>
      </c>
      <c r="AH70" s="73"/>
      <c r="AI70" s="63"/>
      <c r="AJ70" s="63"/>
      <c r="AK70" s="63"/>
      <c r="AL70" s="63"/>
      <c r="AM70" s="63"/>
      <c r="AN70" s="63"/>
      <c r="AO70" s="63"/>
      <c r="AP70" s="63" t="s">
        <v>234</v>
      </c>
      <c r="AQ70" s="63" t="s">
        <v>234</v>
      </c>
    </row>
    <row r="71" spans="2:43" ht="18" customHeight="1">
      <c r="B71" s="63"/>
      <c r="C71" s="63" t="s">
        <v>257</v>
      </c>
      <c r="D71" s="63" t="s">
        <v>257</v>
      </c>
      <c r="E71" s="63">
        <v>1</v>
      </c>
      <c r="F71" s="63">
        <v>1</v>
      </c>
      <c r="G71" s="63">
        <v>2</v>
      </c>
      <c r="H71" s="63">
        <v>2</v>
      </c>
      <c r="I71" s="63">
        <v>2</v>
      </c>
      <c r="J71" s="63">
        <v>3</v>
      </c>
      <c r="K71" s="72" t="str">
        <f t="shared" si="0"/>
        <v>001.001.002.002.002.003</v>
      </c>
      <c r="L71" s="72">
        <f t="shared" si="1"/>
        <v>1</v>
      </c>
      <c r="M71" s="72">
        <f t="shared" si="2"/>
        <v>5</v>
      </c>
      <c r="N71" s="72" t="b">
        <f t="shared" si="3"/>
        <v>1</v>
      </c>
      <c r="O71" s="72" t="b">
        <f t="shared" si="4"/>
        <v>1</v>
      </c>
      <c r="P71" s="72" t="b">
        <f t="shared" si="5"/>
        <v>1</v>
      </c>
      <c r="Q71" s="72" t="b">
        <f t="shared" si="6"/>
        <v>0</v>
      </c>
      <c r="R71" s="72" t="str">
        <f t="shared" si="7"/>
        <v>1.1.2.2.2.T3</v>
      </c>
      <c r="Z71" s="63">
        <v>1</v>
      </c>
      <c r="AA71" s="63">
        <f>IF(AB71="完了",1,0)</f>
        <v>0</v>
      </c>
      <c r="AB71" s="63" t="s">
        <v>234</v>
      </c>
      <c r="AC71" s="63">
        <f>AM71/IF(AL71+AM71=0,1,AL71+AM71)</f>
        <v>0</v>
      </c>
      <c r="AD71" s="71"/>
      <c r="AE71" s="63">
        <v>1</v>
      </c>
      <c r="AF71" s="63" t="s">
        <v>234</v>
      </c>
      <c r="AG71" s="63" t="s">
        <v>234</v>
      </c>
      <c r="AH71" s="73"/>
      <c r="AI71" s="63"/>
      <c r="AJ71" s="63"/>
      <c r="AK71" s="63"/>
      <c r="AL71" s="63"/>
      <c r="AM71" s="63"/>
      <c r="AN71" s="63"/>
      <c r="AO71" s="63"/>
      <c r="AP71" s="63" t="s">
        <v>234</v>
      </c>
      <c r="AQ71" s="63" t="s">
        <v>234</v>
      </c>
    </row>
    <row r="72" spans="2:43" ht="18" customHeight="1">
      <c r="B72" s="63"/>
      <c r="C72" s="63" t="s">
        <v>257</v>
      </c>
      <c r="D72" s="63" t="s">
        <v>257</v>
      </c>
      <c r="E72" s="63">
        <v>1</v>
      </c>
      <c r="F72" s="63">
        <v>2</v>
      </c>
      <c r="G72" s="63"/>
      <c r="H72" s="63"/>
      <c r="I72" s="63"/>
      <c r="J72" s="63"/>
      <c r="K72" s="72" t="str">
        <f t="shared" ref="K72:K135" si="8">IF(B72="E","ERROR",IF(E72="","XXX.XXX.XXX.XXX.XXX.XXX", _xlfn.CONCAT(TEXT(E72,"000"),IF(F72="",".---", "." &amp; TEXT(F72,"000")),IF(G72="",".---", "." &amp; TEXT(G72,"000")),IF(H72="",".---", "." &amp; TEXT(H72,"000")),IF(I72="",".---", "." &amp; TEXT(I72,"000")),IF(J72="",".---", "." &amp; TEXT(J72,"000")))))</f>
        <v>001.002.---.---.---.---</v>
      </c>
      <c r="L72" s="72">
        <f t="shared" ref="L72:L135" si="9">COUNTIF(K$8:K$218,K72)</f>
        <v>1</v>
      </c>
      <c r="M72" s="72">
        <f t="shared" ref="M72:M135" si="10">IF(AND(ISNUMBER(E72),F72="",G72="",H72="",I72=""),1,IF(AND(ISNUMBER(E72),ISNUMBER(F72),G72="",H72="",I72=""),2,IF(AND(ISNUMBER(E72),ISNUMBER(F72),ISNUMBER(G72),H72="",I72=""),3,IF(AND(ISNUMBER(E72),ISNUMBER(F72),ISNUMBER(G72),ISNUMBER(H72),I72=""),4,IF(AND(ISNUMBER(E72),ISNUMBER(F72),ISNUMBER(G72),ISNUMBER(H72),ISNUMBER(I72)),5,0)))))</f>
        <v>2</v>
      </c>
      <c r="N72" s="72" t="b">
        <f t="shared" ref="N72:N135" si="11">IF(AND(J72&lt;&gt;"",ISNUMBER(J72)),TRUE,FALSE)</f>
        <v>0</v>
      </c>
      <c r="O72" s="72" t="b">
        <f t="shared" ref="O72:O135" si="12">NOT(OR(AB72="削除",AB72="移管済",AB72="棚上げ",AB72="却下"))</f>
        <v>1</v>
      </c>
      <c r="P72" s="72" t="b">
        <f t="shared" ref="P72:P135" si="13">AND(M72&gt;0,R72&lt;&gt;"",IFERROR(ISNUMBER(MATCH(IFERROR(LEFT(R72,FIND("~",SUBSTITUTE(R72,".","~",LEN(R72)-LEN(SUBSTITUTE(R72,".",""))))-1),R72),R$8:R$218,0)),FALSE))</f>
        <v>1</v>
      </c>
      <c r="Q72" s="72" t="b">
        <f t="shared" ref="Q72:Q135" si="14">AND(M72&gt;0,N72=FALSE,R72&lt;&gt;"",IFERROR(SUMPRODUCT(--(LEFT(R$8:R$218,LEN(R72&amp;"."))=R72&amp;"."))&gt;0,FALSE))</f>
        <v>1</v>
      </c>
      <c r="R72" s="72" t="str">
        <f t="shared" ref="R72:R135" si="15">IF(B72="E","ERROR",IF(E72="","",_xlfn.CONCAT(E72,IF(F72="","","."&amp;F72 ), IF(G72="","","."&amp;G72 ), IF(H72="","","."&amp;H72 ), IF(I72="","","."&amp;I72 ), IF(J72="","",".T"&amp;J72 ))))</f>
        <v>1.2</v>
      </c>
      <c r="Z72" s="63">
        <f>SUM(_xlfn._xlws.FILTER(Z8:Z218,(E8:E218=E72)*(F8:F218=F72)*(ISNUMBER(G8:G218))*(H8:H218="")*(I8:I218="")*(N8:N218=FALSE)*(O8:O218=TRUE),0))+SUM(_xlfn._xlws.FILTER(Z8:Z218,(E8:E218=E72)*(F8:F218=F72)*(G8:G218="")*(H8:H218="")*(I8:I218="")*(N8:N218=TRUE)*(O8:O218=TRUE),0))</f>
        <v>42</v>
      </c>
      <c r="AA72" s="63">
        <f>SUM(_xlfn._xlws.FILTER(AA8:AA218,(E8:E218=E72)*(F8:F218=F72)*(ISNUMBER(G8:G218))*(H8:H218="")*(I8:I218="")*(N8:N218=FALSE)*(O8:O218=TRUE),0))+SUM(_xlfn._xlws.FILTER(AA8:AA218,(E8:E218=E72)*(F8:F218=F72)*(G8:G218="")*(H8:H218="")*(I8:I218="")*(N8:N218=TRUE)*(O8:O218=TRUE),0))</f>
        <v>4</v>
      </c>
      <c r="AB72" s="63" t="s">
        <v>234</v>
      </c>
      <c r="AC72" s="63">
        <f>(SUM(_xlfn._xlws.FILTER(AC8:AC218,(E8:E218=E72)*(F8:F218=F72)*(ISNUMBER(G8:G218))*(H8:H218="")*(I8:I218="")*(N8:N218=FALSE)*(O8:O218=TRUE),0))+SUM(_xlfn._xlws.FILTER(AC8:AC218,(E8:E218=E72)*(F8:F218=F72)*(G8:G218="")*(H8:H218="")*(I8:I218="")*(N8:N218=TRUE)*(O8:O218=TRUE),0)))/IF(IFERROR(COUNT(_xlfn._xlws.FILTER(AC8:AC218,(E8:E218=E72)*(F8:F218=F72)*(ISNUMBER(G8:G218))*(H8:H218="")*(I8:I218="")*(N8:N218=FALSE)*(O8:O218=TRUE))),0)+IFERROR(COUNT(_xlfn._xlws.FILTER(AC8:AC218,(E8:E218=E72)*(F8:F218=F72)*(G8:G218="")*(H8:H218="")*(I8:I218="")*(N8:N218=TRUE)*(O8:O218=TRUE))),0)=0,1,IFERROR(COUNT(_xlfn._xlws.FILTER(AC8:AC218,(E8:E218=E72)*(F8:F218=F72)*(ISNUMBER(G8:G218))*(H8:H218="")*(I8:I218="")*(N8:N218=FALSE)*(O8:O218=TRUE))),0)+IFERROR(COUNT(_xlfn._xlws.FILTER(AC8:AC218,(E8:E218=E72)*(F8:F218=F72)*(G8:G218="")*(H8:H218="")*(I8:I218="")*(N8:N218=TRUE)*(O8:O218=TRUE))),0))</f>
        <v>0</v>
      </c>
      <c r="AD72" s="71">
        <f>(SUM(_xlfn._xlws.FILTER(AD8:AD218*(AE8:AE218),(E8:E218=E72)*(F8:F218=F72)*(ISNUMBER(G8:G218))*(H8:H218="")*(I8:I218="")*(N8:N218=FALSE)*(O8:O218=TRUE),0))+SUM(_xlfn._xlws.FILTER(AD8:AD218*(AE8:AE218),(E8:E218=E72)*(F8:F218=F72)*(G8:G218="")*(H8:H218="")*(I8:I218="")*(N8:N218=TRUE)*(O8:O218=TRUE),0)))/IF(SUM(_xlfn._xlws.FILTER(AE8:AE218,(E8:E218=E72)*(F8:F218=F72)*(ISNUMBER(G8:G218))*(H8:H218="")*(I8:I218="")*(N8:N218=FALSE)*(O8:O218=TRUE),0))+SUM(_xlfn._xlws.FILTER(AE8:AE218,(E8:E218=E72)*(F8:F218=F72)*(G8:G218="")*(H8:H218="")*(I8:I218="")*(N8:N218=TRUE)*(O8:O218=TRUE),0))=0,1,SUM(_xlfn._xlws.FILTER(AE8:AE218,(E8:E218=E72)*(F8:F218=F72)*(ISNUMBER(G8:G218))*(H8:H218="")*(I8:I218="")*(N8:N218=FALSE)*(O8:O218=TRUE),0))+SUM(_xlfn._xlws.FILTER(AE8:AE218,(E8:E218=E72)*(F8:F218=F72)*(G8:G218="")*(H8:H218="")*(I8:I218="")*(N8:N218=TRUE)*(O8:O218=TRUE),0)))</f>
        <v>0</v>
      </c>
      <c r="AE72" s="63">
        <v>1</v>
      </c>
      <c r="AF72" s="63" t="s">
        <v>234</v>
      </c>
      <c r="AG72" s="63" t="s">
        <v>234</v>
      </c>
      <c r="AH72" s="73"/>
      <c r="AI72" s="63">
        <f>SUM(_xlfn._xlws.FILTER(AI8:AI218,(E8:E218=E72)*(F8:F218=F72)*(ISNUMBER(G8:G218))*(H8:H218="")*(I8:I218="")*(N8:N218=FALSE)*(O8:O218=TRUE),0))+SUM(_xlfn._xlws.FILTER(AI8:AI218,(E8:E218=E72)*(F8:F218=F72)*(G8:G218="")*(H8:H218="")*(I8:I218="")*(N8:N218=TRUE)*(O8:O218=TRUE),0))</f>
        <v>0</v>
      </c>
      <c r="AJ72" s="63"/>
      <c r="AK72" s="63"/>
      <c r="AL72" s="63">
        <f>SUM(_xlfn._xlws.FILTER(AL8:AL218,(E8:E218=E72)*(F8:F218=F72)*(ISNUMBER(G8:G218))*(H8:H218="")*(I8:I218="")*(N8:N218=FALSE)*(O8:O218=TRUE),0))+SUM(_xlfn._xlws.FILTER(AL8:AL218,(E8:E218=E72)*(F8:F218=F72)*(G8:G218="")*(H8:H218="")*(I8:I218="")*(N8:N218=TRUE)*(O8:O218=TRUE),0))</f>
        <v>0</v>
      </c>
      <c r="AM72" s="63">
        <f>SUM(_xlfn._xlws.FILTER(AM8:AM218,(E8:E218=E72)*(F8:F218=F72)*(ISNUMBER(G8:G218))*(H8:H218="")*(I8:I218="")*(N8:N218=FALSE)*(O8:O218=TRUE),0))+SUM(_xlfn._xlws.FILTER(AM8:AM218,(E8:E218=E72)*(F8:F218=F72)*(G8:G218="")*(H8:H218="")*(I8:I218="")*(N8:N218=TRUE)*(O8:O218=TRUE),0))</f>
        <v>0</v>
      </c>
      <c r="AN72" s="63"/>
      <c r="AO72" s="63"/>
      <c r="AP72" s="63" t="s">
        <v>234</v>
      </c>
      <c r="AQ72" s="63" t="s">
        <v>234</v>
      </c>
    </row>
    <row r="73" spans="2:43" ht="18" customHeight="1">
      <c r="B73" s="63"/>
      <c r="C73" s="63" t="s">
        <v>257</v>
      </c>
      <c r="D73" s="63" t="s">
        <v>257</v>
      </c>
      <c r="E73" s="63">
        <v>1</v>
      </c>
      <c r="F73" s="63">
        <v>2</v>
      </c>
      <c r="G73" s="63"/>
      <c r="H73" s="63"/>
      <c r="I73" s="63"/>
      <c r="J73" s="63">
        <v>1</v>
      </c>
      <c r="K73" s="72" t="str">
        <f t="shared" si="8"/>
        <v>001.002.---.---.---.001</v>
      </c>
      <c r="L73" s="72">
        <f t="shared" si="9"/>
        <v>1</v>
      </c>
      <c r="M73" s="72">
        <f t="shared" si="10"/>
        <v>2</v>
      </c>
      <c r="N73" s="72" t="b">
        <f t="shared" si="11"/>
        <v>1</v>
      </c>
      <c r="O73" s="72" t="b">
        <f t="shared" si="12"/>
        <v>1</v>
      </c>
      <c r="P73" s="72" t="b">
        <f t="shared" si="13"/>
        <v>1</v>
      </c>
      <c r="Q73" s="72" t="b">
        <f t="shared" si="14"/>
        <v>0</v>
      </c>
      <c r="R73" s="72" t="str">
        <f t="shared" si="15"/>
        <v>1.2.T1</v>
      </c>
      <c r="X73" s="60" t="s">
        <v>236</v>
      </c>
      <c r="Z73" s="63">
        <v>1</v>
      </c>
      <c r="AA73" s="63">
        <f>IF(AB73="完了",1,0)</f>
        <v>0</v>
      </c>
      <c r="AB73" s="63" t="s">
        <v>237</v>
      </c>
      <c r="AC73" s="63">
        <f>AM73/IF(AL73+AM73=0,1,AL73+AM73)</f>
        <v>0</v>
      </c>
      <c r="AD73" s="71"/>
      <c r="AE73" s="63">
        <v>1</v>
      </c>
      <c r="AF73" s="63" t="s">
        <v>234</v>
      </c>
      <c r="AG73" s="63" t="s">
        <v>234</v>
      </c>
      <c r="AH73" s="73"/>
      <c r="AI73" s="63"/>
      <c r="AJ73" s="63"/>
      <c r="AK73" s="63"/>
      <c r="AL73" s="63"/>
      <c r="AM73" s="63"/>
      <c r="AN73" s="63"/>
      <c r="AO73" s="63"/>
      <c r="AP73" s="63" t="s">
        <v>234</v>
      </c>
      <c r="AQ73" s="63" t="s">
        <v>234</v>
      </c>
    </row>
    <row r="74" spans="2:43" ht="18" customHeight="1">
      <c r="B74" s="63"/>
      <c r="C74" s="63" t="s">
        <v>257</v>
      </c>
      <c r="D74" s="63" t="s">
        <v>257</v>
      </c>
      <c r="E74" s="63">
        <v>1</v>
      </c>
      <c r="F74" s="63">
        <v>2</v>
      </c>
      <c r="G74" s="63"/>
      <c r="H74" s="63"/>
      <c r="I74" s="63"/>
      <c r="J74" s="63">
        <v>2</v>
      </c>
      <c r="K74" s="72" t="str">
        <f t="shared" si="8"/>
        <v>001.002.---.---.---.002</v>
      </c>
      <c r="L74" s="72">
        <f t="shared" si="9"/>
        <v>1</v>
      </c>
      <c r="M74" s="72">
        <f t="shared" si="10"/>
        <v>2</v>
      </c>
      <c r="N74" s="72" t="b">
        <f t="shared" si="11"/>
        <v>1</v>
      </c>
      <c r="O74" s="72" t="b">
        <f t="shared" si="12"/>
        <v>0</v>
      </c>
      <c r="P74" s="72" t="b">
        <f t="shared" si="13"/>
        <v>1</v>
      </c>
      <c r="Q74" s="72" t="b">
        <f t="shared" si="14"/>
        <v>0</v>
      </c>
      <c r="R74" s="72" t="str">
        <f t="shared" si="15"/>
        <v>1.2.T2</v>
      </c>
      <c r="X74" s="60" t="s">
        <v>238</v>
      </c>
      <c r="Z74" s="63">
        <v>1</v>
      </c>
      <c r="AA74" s="63">
        <f>IF(AB74="完了",1,0)</f>
        <v>0</v>
      </c>
      <c r="AB74" s="63" t="s">
        <v>239</v>
      </c>
      <c r="AC74" s="63">
        <f>AM74/IF(AL74+AM74=0,1,AL74+AM74)</f>
        <v>0</v>
      </c>
      <c r="AD74" s="71"/>
      <c r="AE74" s="63">
        <v>1</v>
      </c>
      <c r="AF74" s="63" t="s">
        <v>234</v>
      </c>
      <c r="AG74" s="63" t="s">
        <v>234</v>
      </c>
      <c r="AH74" s="73"/>
      <c r="AI74" s="63"/>
      <c r="AJ74" s="63"/>
      <c r="AK74" s="63"/>
      <c r="AL74" s="63"/>
      <c r="AM74" s="63"/>
      <c r="AN74" s="63"/>
      <c r="AO74" s="63"/>
      <c r="AP74" s="63" t="s">
        <v>234</v>
      </c>
      <c r="AQ74" s="63" t="s">
        <v>234</v>
      </c>
    </row>
    <row r="75" spans="2:43" ht="18" customHeight="1">
      <c r="B75" s="63"/>
      <c r="C75" s="63" t="s">
        <v>257</v>
      </c>
      <c r="D75" s="63" t="s">
        <v>257</v>
      </c>
      <c r="E75" s="63">
        <v>1</v>
      </c>
      <c r="F75" s="63">
        <v>2</v>
      </c>
      <c r="G75" s="63"/>
      <c r="H75" s="63"/>
      <c r="I75" s="63"/>
      <c r="J75" s="63">
        <v>3</v>
      </c>
      <c r="K75" s="72" t="str">
        <f t="shared" si="8"/>
        <v>001.002.---.---.---.003</v>
      </c>
      <c r="L75" s="72">
        <f t="shared" si="9"/>
        <v>1</v>
      </c>
      <c r="M75" s="72">
        <f t="shared" si="10"/>
        <v>2</v>
      </c>
      <c r="N75" s="72" t="b">
        <f t="shared" si="11"/>
        <v>1</v>
      </c>
      <c r="O75" s="72" t="b">
        <f t="shared" si="12"/>
        <v>1</v>
      </c>
      <c r="P75" s="72" t="b">
        <f t="shared" si="13"/>
        <v>1</v>
      </c>
      <c r="Q75" s="72" t="b">
        <f t="shared" si="14"/>
        <v>0</v>
      </c>
      <c r="R75" s="72" t="str">
        <f t="shared" si="15"/>
        <v>1.2.T3</v>
      </c>
      <c r="X75" s="60" t="s">
        <v>240</v>
      </c>
      <c r="Z75" s="63">
        <v>1</v>
      </c>
      <c r="AA75" s="63">
        <f>IF(AB75="完了",1,0)</f>
        <v>0</v>
      </c>
      <c r="AB75" s="63" t="s">
        <v>234</v>
      </c>
      <c r="AC75" s="63">
        <f>AM75/IF(AL75+AM75=0,1,AL75+AM75)</f>
        <v>0</v>
      </c>
      <c r="AD75" s="71"/>
      <c r="AE75" s="63">
        <v>1</v>
      </c>
      <c r="AF75" s="63" t="s">
        <v>234</v>
      </c>
      <c r="AG75" s="63" t="s">
        <v>234</v>
      </c>
      <c r="AH75" s="73"/>
      <c r="AI75" s="63"/>
      <c r="AJ75" s="63"/>
      <c r="AK75" s="63"/>
      <c r="AL75" s="63"/>
      <c r="AM75" s="63"/>
      <c r="AN75" s="63"/>
      <c r="AO75" s="63"/>
      <c r="AP75" s="63" t="s">
        <v>234</v>
      </c>
      <c r="AQ75" s="63" t="s">
        <v>234</v>
      </c>
    </row>
    <row r="76" spans="2:43" ht="18" customHeight="1">
      <c r="B76" s="63"/>
      <c r="C76" s="63" t="s">
        <v>257</v>
      </c>
      <c r="D76" s="63" t="s">
        <v>257</v>
      </c>
      <c r="E76" s="63">
        <v>1</v>
      </c>
      <c r="F76" s="63">
        <v>2</v>
      </c>
      <c r="G76" s="63">
        <v>1</v>
      </c>
      <c r="H76" s="63"/>
      <c r="I76" s="63"/>
      <c r="J76" s="63"/>
      <c r="K76" s="72" t="str">
        <f t="shared" si="8"/>
        <v>001.002.001.---.---.---</v>
      </c>
      <c r="L76" s="72">
        <f t="shared" si="9"/>
        <v>1</v>
      </c>
      <c r="M76" s="72">
        <f t="shared" si="10"/>
        <v>3</v>
      </c>
      <c r="N76" s="72" t="b">
        <f t="shared" si="11"/>
        <v>0</v>
      </c>
      <c r="O76" s="72" t="b">
        <f t="shared" si="12"/>
        <v>1</v>
      </c>
      <c r="P76" s="72" t="b">
        <f t="shared" si="13"/>
        <v>1</v>
      </c>
      <c r="Q76" s="72" t="b">
        <f t="shared" si="14"/>
        <v>1</v>
      </c>
      <c r="R76" s="72" t="str">
        <f t="shared" si="15"/>
        <v>1.2.1</v>
      </c>
      <c r="U76" s="60" t="s">
        <v>241</v>
      </c>
      <c r="Z76" s="63">
        <f>SUM(_xlfn._xlws.FILTER(Z8:Z218,(E8:E218=E76)*(F8:F218=F76)*(G8:G218=G76)*(ISNUMBER(H8:H218))*(I8:I218="")*(N8:N218=FALSE)*(O8:O218=TRUE),0))+SUM(_xlfn._xlws.FILTER(Z8:Z218,(E8:E218=E76)*(F8:F218=F76)*(G8:G218=G76)*(H8:H218="")*(I8:I218="")*(N8:N218=TRUE)*(O8:O218=TRUE),0))</f>
        <v>20</v>
      </c>
      <c r="AA76" s="63">
        <f>SUM(_xlfn._xlws.FILTER(AA8:AA218,(E8:E218=E76)*(F8:F218=F76)*(G8:G218=G76)*(ISNUMBER(H8:H218))*(I8:I218="")*(N8:N218=FALSE)*(O8:O218=TRUE),0))+SUM(_xlfn._xlws.FILTER(AA8:AA218,(E8:E218=E76)*(F8:F218=F76)*(G8:G218=G76)*(H8:H218="")*(I8:I218="")*(N8:N218=TRUE)*(O8:O218=TRUE),0))</f>
        <v>2</v>
      </c>
      <c r="AB76" s="63" t="s">
        <v>234</v>
      </c>
      <c r="AC76" s="63">
        <f>(SUM(_xlfn._xlws.FILTER(AC8:AC218,(E8:E218=E76)*(F8:F218=F76)*(G8:G218=G76)*(ISNUMBER(H8:H218))*(I8:I218="")*(N8:N218=FALSE)*(O8:O218=TRUE),0))+SUM(_xlfn._xlws.FILTER(AC8:AC218,(E8:E218=E76)*(F8:F218=F76)*(G8:G218=G76)*(H8:H218="")*(I8:I218="")*(N8:N218=TRUE)*(O8:O218=TRUE),0)))/IF(IFERROR(COUNT(_xlfn._xlws.FILTER(AC8:AC218,(E8:E218=E76)*(F8:F218=F76)*(G8:G218=G76)*(ISNUMBER(H8:H218))*(I8:I218="")*(N8:N218=FALSE)*(O8:O218=TRUE))),0)+IFERROR(COUNT(_xlfn._xlws.FILTER(AC8:AC218,(E8:E218=E76)*(F8:F218=F76)*(G8:G218=G76)*(H8:H218="")*(I8:I218="")*(N8:N218=TRUE)*(O8:O218=TRUE))),0)=0,1,IFERROR(COUNT(_xlfn._xlws.FILTER(AC8:AC218,(E8:E218=E76)*(F8:F218=F76)*(G8:G218=G76)*(ISNUMBER(H8:H218))*(I8:I218="")*(N8:N218=FALSE)*(O8:O218=TRUE))),0)+IFERROR(COUNT(_xlfn._xlws.FILTER(AC8:AC218,(E8:E218=E76)*(F8:F218=F76)*(G8:G218=G76)*(H8:H218="")*(I8:I218="")*(N8:N218=TRUE)*(O8:O218=TRUE))),0))</f>
        <v>0</v>
      </c>
      <c r="AD76" s="71">
        <f>(SUM(_xlfn._xlws.FILTER(AD8:AD218*(AE8:AE218),(E8:E218=E76)*(F8:F218=F76)*(G8:G218=G76)*(ISNUMBER(H8:H218))*(I8:I218="")*(N8:N218=FALSE)*(O8:O218=TRUE),0))+SUM(_xlfn._xlws.FILTER(AD8:AD218*(AE8:AE218),(E8:E218=E76)*(F8:F218=F76)*(G8:G218=G76)*(H8:H218="")*(I8:I218="")*(N8:N218=TRUE)*(O8:O218=TRUE),0)))/IF(SUM(_xlfn._xlws.FILTER(AE8:AE218,(E8:E218=E76)*(F8:F218=F76)*(G8:G218=G76)*(ISNUMBER(H8:H218))*(I8:I218="")*(N8:N218=FALSE)*(O8:O218=TRUE),0))+SUM(_xlfn._xlws.FILTER(AE8:AE218,(E8:E218=E76)*(F8:F218=F76)*(G8:G218=G76)*(H8:H218="")*(I8:I218="")*(N8:N218=TRUE)*(O8:O218=TRUE),0))=0,1,SUM(_xlfn._xlws.FILTER(AE8:AE218,(E8:E218=E76)*(F8:F218=F76)*(G8:G218=G76)*(ISNUMBER(H8:H218))*(I8:I218="")*(N8:N218=FALSE)*(O8:O218=TRUE),0))+SUM(_xlfn._xlws.FILTER(AE8:AE218,(E8:E218=E76)*(F8:F218=F76)*(G8:G218=G76)*(H8:H218="")*(I8:I218="")*(N8:N218=TRUE)*(O8:O218=TRUE),0)))</f>
        <v>0</v>
      </c>
      <c r="AE76" s="63">
        <v>1</v>
      </c>
      <c r="AF76" s="63" t="s">
        <v>234</v>
      </c>
      <c r="AG76" s="63" t="s">
        <v>234</v>
      </c>
      <c r="AH76" s="73"/>
      <c r="AI76" s="63">
        <f>SUM(_xlfn._xlws.FILTER(AI8:AI218,(E8:E218=E76)*(F8:F218=F76)*(G8:G218=G76)*(ISNUMBER(H8:H218))*(I8:I218="")*(N8:N218=FALSE)*(O8:O218=TRUE),0))+SUM(_xlfn._xlws.FILTER(AI8:AI218,(E8:E218=E76)*(F8:F218=F76)*(G8:G218=G76)*(H8:H218="")*(I8:I218="")*(N8:N218=TRUE)*(O8:O218=TRUE),0))</f>
        <v>0</v>
      </c>
      <c r="AJ76" s="63"/>
      <c r="AK76" s="63"/>
      <c r="AL76" s="63">
        <f>SUM(_xlfn._xlws.FILTER(AL8:AL218,(E8:E218=E76)*(F8:F218=F76)*(G8:G218=G76)*(ISNUMBER(H8:H218))*(I8:I218="")*(N8:N218=FALSE)*(O8:O218=TRUE),0))+SUM(_xlfn._xlws.FILTER(AL8:AL218,(E8:E218=E76)*(F8:F218=F76)*(G8:G218=G76)*(H8:H218="")*(I8:I218="")*(N8:N218=TRUE)*(O8:O218=TRUE),0))</f>
        <v>0</v>
      </c>
      <c r="AM76" s="63">
        <f>SUM(_xlfn._xlws.FILTER(AM8:AM218,(E8:E218=E76)*(F8:F218=F76)*(G8:G218=G76)*(ISNUMBER(H8:H218))*(I8:I218="")*(N8:N218=FALSE)*(O8:O218=TRUE),0))+SUM(_xlfn._xlws.FILTER(AM8:AM218,(E8:E218=E76)*(F8:F218=F76)*(G8:G218=G76)*(H8:H218="")*(I8:I218="")*(N8:N218=TRUE)*(O8:O218=TRUE),0))</f>
        <v>0</v>
      </c>
      <c r="AN76" s="63"/>
      <c r="AO76" s="63"/>
      <c r="AP76" s="63" t="s">
        <v>234</v>
      </c>
      <c r="AQ76" s="63" t="s">
        <v>234</v>
      </c>
    </row>
    <row r="77" spans="2:43" ht="18" customHeight="1">
      <c r="B77" s="63"/>
      <c r="C77" s="63" t="s">
        <v>257</v>
      </c>
      <c r="D77" s="63" t="s">
        <v>257</v>
      </c>
      <c r="E77" s="63">
        <v>1</v>
      </c>
      <c r="F77" s="63">
        <v>2</v>
      </c>
      <c r="G77" s="63">
        <v>1</v>
      </c>
      <c r="H77" s="63"/>
      <c r="I77" s="63"/>
      <c r="J77" s="63">
        <v>1</v>
      </c>
      <c r="K77" s="72" t="str">
        <f t="shared" si="8"/>
        <v>001.002.001.---.---.001</v>
      </c>
      <c r="L77" s="72">
        <f t="shared" si="9"/>
        <v>1</v>
      </c>
      <c r="M77" s="72">
        <f t="shared" si="10"/>
        <v>3</v>
      </c>
      <c r="N77" s="72" t="b">
        <f t="shared" si="11"/>
        <v>1</v>
      </c>
      <c r="O77" s="72" t="b">
        <f t="shared" si="12"/>
        <v>0</v>
      </c>
      <c r="P77" s="72" t="b">
        <f t="shared" si="13"/>
        <v>1</v>
      </c>
      <c r="Q77" s="72" t="b">
        <f t="shared" si="14"/>
        <v>0</v>
      </c>
      <c r="R77" s="72" t="str">
        <f t="shared" si="15"/>
        <v>1.2.1.T1</v>
      </c>
      <c r="X77" s="60" t="s">
        <v>242</v>
      </c>
      <c r="Z77" s="63">
        <v>1</v>
      </c>
      <c r="AA77" s="63">
        <f>IF(AB77="完了",1,0)</f>
        <v>0</v>
      </c>
      <c r="AB77" s="63" t="s">
        <v>243</v>
      </c>
      <c r="AC77" s="63">
        <f>AM77/IF(AL77+AM77=0,1,AL77+AM77)</f>
        <v>0</v>
      </c>
      <c r="AD77" s="71"/>
      <c r="AE77" s="63">
        <v>1</v>
      </c>
      <c r="AF77" s="63" t="s">
        <v>234</v>
      </c>
      <c r="AG77" s="63" t="s">
        <v>234</v>
      </c>
      <c r="AH77" s="73"/>
      <c r="AI77" s="63"/>
      <c r="AJ77" s="63"/>
      <c r="AK77" s="63"/>
      <c r="AL77" s="63"/>
      <c r="AM77" s="63"/>
      <c r="AN77" s="63"/>
      <c r="AO77" s="63"/>
      <c r="AP77" s="63" t="s">
        <v>234</v>
      </c>
      <c r="AQ77" s="63" t="s">
        <v>234</v>
      </c>
    </row>
    <row r="78" spans="2:43" ht="18" customHeight="1">
      <c r="B78" s="63"/>
      <c r="C78" s="63" t="s">
        <v>257</v>
      </c>
      <c r="D78" s="63" t="s">
        <v>257</v>
      </c>
      <c r="E78" s="63">
        <v>1</v>
      </c>
      <c r="F78" s="63">
        <v>2</v>
      </c>
      <c r="G78" s="63">
        <v>1</v>
      </c>
      <c r="H78" s="63"/>
      <c r="I78" s="63"/>
      <c r="J78" s="63">
        <v>2</v>
      </c>
      <c r="K78" s="72" t="str">
        <f t="shared" si="8"/>
        <v>001.002.001.---.---.002</v>
      </c>
      <c r="L78" s="72">
        <f t="shared" si="9"/>
        <v>1</v>
      </c>
      <c r="M78" s="72">
        <f t="shared" si="10"/>
        <v>3</v>
      </c>
      <c r="N78" s="72" t="b">
        <f t="shared" si="11"/>
        <v>1</v>
      </c>
      <c r="O78" s="72" t="b">
        <f t="shared" si="12"/>
        <v>1</v>
      </c>
      <c r="P78" s="72" t="b">
        <f t="shared" si="13"/>
        <v>1</v>
      </c>
      <c r="Q78" s="72" t="b">
        <f t="shared" si="14"/>
        <v>0</v>
      </c>
      <c r="R78" s="72" t="str">
        <f t="shared" si="15"/>
        <v>1.2.1.T2</v>
      </c>
      <c r="X78" s="60" t="s">
        <v>244</v>
      </c>
      <c r="Z78" s="63">
        <v>1</v>
      </c>
      <c r="AA78" s="63">
        <f>IF(AB78="完了",1,0)</f>
        <v>0</v>
      </c>
      <c r="AB78" s="63" t="s">
        <v>245</v>
      </c>
      <c r="AC78" s="63">
        <f>AM78/IF(AL78+AM78=0,1,AL78+AM78)</f>
        <v>0</v>
      </c>
      <c r="AD78" s="71"/>
      <c r="AE78" s="63">
        <v>1</v>
      </c>
      <c r="AF78" s="63" t="s">
        <v>234</v>
      </c>
      <c r="AG78" s="63" t="s">
        <v>234</v>
      </c>
      <c r="AH78" s="73"/>
      <c r="AI78" s="63"/>
      <c r="AJ78" s="63"/>
      <c r="AK78" s="63"/>
      <c r="AL78" s="63"/>
      <c r="AM78" s="63"/>
      <c r="AN78" s="63"/>
      <c r="AO78" s="63"/>
      <c r="AP78" s="63" t="s">
        <v>234</v>
      </c>
      <c r="AQ78" s="63" t="s">
        <v>234</v>
      </c>
    </row>
    <row r="79" spans="2:43" ht="18" customHeight="1">
      <c r="B79" s="63"/>
      <c r="C79" s="63" t="s">
        <v>257</v>
      </c>
      <c r="D79" s="63" t="s">
        <v>257</v>
      </c>
      <c r="E79" s="63">
        <v>1</v>
      </c>
      <c r="F79" s="63">
        <v>2</v>
      </c>
      <c r="G79" s="63">
        <v>1</v>
      </c>
      <c r="H79" s="63"/>
      <c r="I79" s="63"/>
      <c r="J79" s="63">
        <v>3</v>
      </c>
      <c r="K79" s="72" t="str">
        <f t="shared" si="8"/>
        <v>001.002.001.---.---.003</v>
      </c>
      <c r="L79" s="72">
        <f t="shared" si="9"/>
        <v>1</v>
      </c>
      <c r="M79" s="72">
        <f t="shared" si="10"/>
        <v>3</v>
      </c>
      <c r="N79" s="72" t="b">
        <f t="shared" si="11"/>
        <v>1</v>
      </c>
      <c r="O79" s="72" t="b">
        <f t="shared" si="12"/>
        <v>1</v>
      </c>
      <c r="P79" s="72" t="b">
        <f t="shared" si="13"/>
        <v>1</v>
      </c>
      <c r="Q79" s="72" t="b">
        <f t="shared" si="14"/>
        <v>0</v>
      </c>
      <c r="R79" s="72" t="str">
        <f t="shared" si="15"/>
        <v>1.2.1.T3</v>
      </c>
      <c r="X79" s="60" t="s">
        <v>246</v>
      </c>
      <c r="Z79" s="63">
        <v>1</v>
      </c>
      <c r="AA79" s="63">
        <f>IF(AB79="完了",1,0)</f>
        <v>0</v>
      </c>
      <c r="AB79" s="63" t="s">
        <v>234</v>
      </c>
      <c r="AC79" s="63">
        <f>AM79/IF(AL79+AM79=0,1,AL79+AM79)</f>
        <v>0</v>
      </c>
      <c r="AD79" s="71"/>
      <c r="AE79" s="63">
        <v>1</v>
      </c>
      <c r="AF79" s="63" t="s">
        <v>234</v>
      </c>
      <c r="AG79" s="63" t="s">
        <v>234</v>
      </c>
      <c r="AH79" s="73"/>
      <c r="AI79" s="63"/>
      <c r="AJ79" s="63"/>
      <c r="AK79" s="63"/>
      <c r="AL79" s="63"/>
      <c r="AM79" s="63"/>
      <c r="AN79" s="63"/>
      <c r="AO79" s="63"/>
      <c r="AP79" s="63" t="s">
        <v>234</v>
      </c>
      <c r="AQ79" s="63" t="s">
        <v>234</v>
      </c>
    </row>
    <row r="80" spans="2:43" ht="18" customHeight="1">
      <c r="B80" s="63"/>
      <c r="C80" s="63" t="s">
        <v>257</v>
      </c>
      <c r="D80" s="63" t="s">
        <v>257</v>
      </c>
      <c r="E80" s="63">
        <v>1</v>
      </c>
      <c r="F80" s="63">
        <v>2</v>
      </c>
      <c r="G80" s="63">
        <v>1</v>
      </c>
      <c r="H80" s="63">
        <v>1</v>
      </c>
      <c r="I80" s="63"/>
      <c r="J80" s="63"/>
      <c r="K80" s="72" t="str">
        <f t="shared" si="8"/>
        <v>001.002.001.001.---.---</v>
      </c>
      <c r="L80" s="72">
        <f t="shared" si="9"/>
        <v>1</v>
      </c>
      <c r="M80" s="72">
        <f t="shared" si="10"/>
        <v>4</v>
      </c>
      <c r="N80" s="72" t="b">
        <f t="shared" si="11"/>
        <v>0</v>
      </c>
      <c r="O80" s="72" t="b">
        <f t="shared" si="12"/>
        <v>1</v>
      </c>
      <c r="P80" s="72" t="b">
        <f t="shared" si="13"/>
        <v>1</v>
      </c>
      <c r="Q80" s="72" t="b">
        <f t="shared" si="14"/>
        <v>1</v>
      </c>
      <c r="R80" s="72" t="str">
        <f t="shared" si="15"/>
        <v>1.2.1.1</v>
      </c>
      <c r="V80" s="60" t="s">
        <v>247</v>
      </c>
      <c r="Z80" s="63">
        <f>SUM(_xlfn._xlws.FILTER(Z8:Z218,(E8:E218=E80)*(F8:F218=F80)*(G8:G218=G80)*(H8:H218=H80)*(ISNUMBER(I8:I218))*(N8:N218=FALSE)*(O8:O218=TRUE),0))+SUM(_xlfn._xlws.FILTER(Z8:Z218,(E8:E218=E80)*(F8:F218=F80)*(G8:G218=G80)*(H8:H218=H80)*(I8:I218="")*(N8:N218=TRUE)*(O8:O218=TRUE),0))</f>
        <v>9</v>
      </c>
      <c r="AA80" s="63">
        <f>SUM(_xlfn._xlws.FILTER(AA8:AA218,(E8:E218=E80)*(F8:F218=F80)*(G8:G218=G80)*(H8:H218=H80)*(ISNUMBER(I8:I218))*(N8:N218=FALSE)*(O8:O218=TRUE),0))+SUM(_xlfn._xlws.FILTER(AA8:AA218,(E8:E218=E80)*(F8:F218=F80)*(G8:G218=G80)*(H8:H218=H80)*(I8:I218="")*(N8:N218=TRUE)*(O8:O218=TRUE),0))</f>
        <v>1</v>
      </c>
      <c r="AB80" s="63" t="s">
        <v>234</v>
      </c>
      <c r="AC80" s="63">
        <f>(SUM(_xlfn._xlws.FILTER(AC8:AC218,(E8:E218=E80)*(F8:F218=F80)*(G8:G218=G80)*(H8:H218=H80)*(ISNUMBER(I8:I218))*(N8:N218=FALSE)*(O8:O218=TRUE),0))+SUM(_xlfn._xlws.FILTER(AC8:AC218,(E8:E218=E80)*(F8:F218=F80)*(G8:G218=G80)*(H8:H218=H80)*(I8:I218="")*(N8:N218=TRUE)*(O8:O218=TRUE),0)))/IF(IFERROR(COUNT(_xlfn._xlws.FILTER(AC8:AC218,(E8:E218=E80)*(F8:F218=F80)*(G8:G218=G80)*(H8:H218=H80)*(ISNUMBER(I8:I218))*(N8:N218=FALSE)*(O8:O218=TRUE))),0)+IFERROR(COUNT(_xlfn._xlws.FILTER(AC8:AC218,(E8:E218=E80)*(F8:F218=F80)*(G8:G218=G80)*(H8:H218=H80)*(I8:I218="")*(N8:N218=TRUE)*(O8:O218=TRUE))),0)=0,1,IFERROR(COUNT(_xlfn._xlws.FILTER(AC8:AC218,(E8:E218=E80)*(F8:F218=F80)*(G8:G218=G80)*(H8:H218=H80)*(ISNUMBER(I8:I218))*(N8:N218=FALSE)*(O8:O218=TRUE))),0)+IFERROR(COUNT(_xlfn._xlws.FILTER(AC8:AC218,(E8:E218=E80)*(F8:F218=F80)*(G8:G218=G80)*(H8:H218=H80)*(I8:I218="")*(N8:N218=TRUE)*(O8:O218=TRUE))),0))</f>
        <v>0</v>
      </c>
      <c r="AD80" s="71">
        <f>(SUM(_xlfn._xlws.FILTER(AD8:AD218*(AE8:AE218),(E8:E218=E80)*(F8:F218=F80)*(G8:G218=G80)*(H8:H218=H80)*(ISNUMBER(I8:I218))*(N8:N218=FALSE)*(O8:O218=TRUE),0))+SUM(_xlfn._xlws.FILTER(AD8:AD218*(AE8:AE218),(E8:E218=E80)*(F8:F218=F80)*(G8:G218=G80)*(H8:H218=H80)*(I8:I218="")*(N8:N218=TRUE)*(O8:O218=TRUE),0)))/IF(SUM(_xlfn._xlws.FILTER(AE8:AE218,(E8:E218=E80)*(F8:F218=F80)*(G8:G218=G80)*(H8:H218=H80)*(ISNUMBER(I8:I218))*(N8:N218=FALSE)*(O8:O218=TRUE),0))+SUM(_xlfn._xlws.FILTER(AE8:AE218,(E8:E218=E80)*(F8:F218=F80)*(G8:G218=G80)*(H8:H218=H80)*(I8:I218="")*(N8:N218=TRUE)*(O8:O218=TRUE),0))=0,1,SUM(_xlfn._xlws.FILTER(AE8:AE218,(E8:E218=E80)*(F8:F218=F80)*(G8:G218=G80)*(H8:H218=H80)*(ISNUMBER(I8:I218))*(N8:N218=FALSE)*(O8:O218=TRUE),0))+SUM(_xlfn._xlws.FILTER(AE8:AE218,(E8:E218=E80)*(F8:F218=F80)*(G8:G218=G80)*(H8:H218=H80)*(I8:I218="")*(N8:N218=TRUE)*(O8:O218=TRUE),0)))</f>
        <v>0</v>
      </c>
      <c r="AE80" s="63">
        <v>1</v>
      </c>
      <c r="AF80" s="63" t="s">
        <v>234</v>
      </c>
      <c r="AG80" s="63" t="s">
        <v>234</v>
      </c>
      <c r="AH80" s="73"/>
      <c r="AI80" s="63">
        <f>SUM(_xlfn._xlws.FILTER(AI8:AI218,(E8:E218=E80)*(F8:F218=F80)*(G8:G218=G80)*(H8:H218=H80)*(ISNUMBER(I8:I218))*(N8:N218=FALSE)*(O8:O218=TRUE),0))+SUM(_xlfn._xlws.FILTER(AI8:AI218,(E8:E218=E80)*(F8:F218=F80)*(G8:G218=G80)*(H8:H218=H80)*(I8:I218="")*(N8:N218=TRUE)*(O8:O218=TRUE),0))</f>
        <v>0</v>
      </c>
      <c r="AJ80" s="63"/>
      <c r="AK80" s="63"/>
      <c r="AL80" s="63">
        <f>SUM(_xlfn._xlws.FILTER(AL8:AL218,(E8:E218=E80)*(F8:F218=F80)*(G8:G218=G80)*(H8:H218=H80)*(ISNUMBER(I8:I218))*(N8:N218=FALSE)*(O8:O218=TRUE),0))+SUM(_xlfn._xlws.FILTER(AL8:AL218,(E8:E218=E80)*(F8:F218=F80)*(G8:G218=G80)*(H8:H218=H80)*(I8:I218="")*(N8:N218=TRUE)*(O8:O218=TRUE),0))</f>
        <v>0</v>
      </c>
      <c r="AM80" s="63">
        <f>SUM(_xlfn._xlws.FILTER(AM8:AM218,(E8:E218=E80)*(F8:F218=F80)*(G8:G218=G80)*(H8:H218=H80)*(ISNUMBER(I8:I218))*(N8:N218=FALSE)*(O8:O218=TRUE),0))+SUM(_xlfn._xlws.FILTER(AM8:AM218,(E8:E218=E80)*(F8:F218=F80)*(G8:G218=G80)*(H8:H218=H80)*(I8:I218="")*(N8:N218=TRUE)*(O8:O218=TRUE),0))</f>
        <v>0</v>
      </c>
      <c r="AN80" s="63"/>
      <c r="AO80" s="63"/>
      <c r="AP80" s="63" t="s">
        <v>234</v>
      </c>
      <c r="AQ80" s="63" t="s">
        <v>234</v>
      </c>
    </row>
    <row r="81" spans="2:43" ht="18" customHeight="1">
      <c r="B81" s="63"/>
      <c r="C81" s="63" t="s">
        <v>257</v>
      </c>
      <c r="D81" s="63" t="s">
        <v>257</v>
      </c>
      <c r="E81" s="63">
        <v>1</v>
      </c>
      <c r="F81" s="63">
        <v>2</v>
      </c>
      <c r="G81" s="63">
        <v>1</v>
      </c>
      <c r="H81" s="63">
        <v>1</v>
      </c>
      <c r="I81" s="63"/>
      <c r="J81" s="63">
        <v>1</v>
      </c>
      <c r="K81" s="72" t="str">
        <f t="shared" si="8"/>
        <v>001.002.001.001.---.001</v>
      </c>
      <c r="L81" s="72">
        <f t="shared" si="9"/>
        <v>1</v>
      </c>
      <c r="M81" s="72">
        <f t="shared" si="10"/>
        <v>4</v>
      </c>
      <c r="N81" s="72" t="b">
        <f t="shared" si="11"/>
        <v>1</v>
      </c>
      <c r="O81" s="72" t="b">
        <f t="shared" si="12"/>
        <v>1</v>
      </c>
      <c r="P81" s="72" t="b">
        <f t="shared" si="13"/>
        <v>1</v>
      </c>
      <c r="Q81" s="72" t="b">
        <f t="shared" si="14"/>
        <v>0</v>
      </c>
      <c r="R81" s="72" t="str">
        <f t="shared" si="15"/>
        <v>1.2.1.1.T1</v>
      </c>
      <c r="X81" s="60" t="s">
        <v>248</v>
      </c>
      <c r="Z81" s="63">
        <v>1</v>
      </c>
      <c r="AA81" s="63">
        <f>IF(AB81="完了",1,0)</f>
        <v>1</v>
      </c>
      <c r="AB81" s="63" t="s">
        <v>204</v>
      </c>
      <c r="AC81" s="63">
        <f>AM81/IF(AL81+AM81=0,1,AL81+AM81)</f>
        <v>0</v>
      </c>
      <c r="AD81" s="71"/>
      <c r="AE81" s="63">
        <v>1</v>
      </c>
      <c r="AF81" s="63" t="s">
        <v>234</v>
      </c>
      <c r="AG81" s="63" t="s">
        <v>234</v>
      </c>
      <c r="AH81" s="73"/>
      <c r="AI81" s="63"/>
      <c r="AJ81" s="63"/>
      <c r="AK81" s="63"/>
      <c r="AL81" s="63"/>
      <c r="AM81" s="63"/>
      <c r="AN81" s="63"/>
      <c r="AO81" s="63"/>
      <c r="AP81" s="63" t="s">
        <v>234</v>
      </c>
      <c r="AQ81" s="63" t="s">
        <v>234</v>
      </c>
    </row>
    <row r="82" spans="2:43" ht="18" customHeight="1">
      <c r="B82" s="63"/>
      <c r="C82" s="63" t="s">
        <v>257</v>
      </c>
      <c r="D82" s="63" t="s">
        <v>257</v>
      </c>
      <c r="E82" s="63">
        <v>1</v>
      </c>
      <c r="F82" s="63">
        <v>2</v>
      </c>
      <c r="G82" s="63">
        <v>1</v>
      </c>
      <c r="H82" s="63">
        <v>1</v>
      </c>
      <c r="I82" s="63"/>
      <c r="J82" s="63">
        <v>2</v>
      </c>
      <c r="K82" s="72" t="str">
        <f t="shared" si="8"/>
        <v>001.002.001.001.---.002</v>
      </c>
      <c r="L82" s="72">
        <f t="shared" si="9"/>
        <v>1</v>
      </c>
      <c r="M82" s="72">
        <f t="shared" si="10"/>
        <v>4</v>
      </c>
      <c r="N82" s="72" t="b">
        <f t="shared" si="11"/>
        <v>1</v>
      </c>
      <c r="O82" s="72" t="b">
        <f t="shared" si="12"/>
        <v>1</v>
      </c>
      <c r="P82" s="72" t="b">
        <f t="shared" si="13"/>
        <v>1</v>
      </c>
      <c r="Q82" s="72" t="b">
        <f t="shared" si="14"/>
        <v>0</v>
      </c>
      <c r="R82" s="72" t="str">
        <f t="shared" si="15"/>
        <v>1.2.1.1.T2</v>
      </c>
      <c r="X82" s="60" t="s">
        <v>249</v>
      </c>
      <c r="Z82" s="63">
        <v>1</v>
      </c>
      <c r="AA82" s="63">
        <f>IF(AB82="完了",1,0)</f>
        <v>0</v>
      </c>
      <c r="AB82" s="63" t="s">
        <v>250</v>
      </c>
      <c r="AC82" s="63">
        <f>AM82/IF(AL82+AM82=0,1,AL82+AM82)</f>
        <v>0</v>
      </c>
      <c r="AD82" s="71"/>
      <c r="AE82" s="63">
        <v>1</v>
      </c>
      <c r="AF82" s="63" t="s">
        <v>234</v>
      </c>
      <c r="AG82" s="63" t="s">
        <v>234</v>
      </c>
      <c r="AH82" s="73"/>
      <c r="AI82" s="63"/>
      <c r="AJ82" s="63"/>
      <c r="AK82" s="63"/>
      <c r="AL82" s="63"/>
      <c r="AM82" s="63"/>
      <c r="AN82" s="63"/>
      <c r="AO82" s="63"/>
      <c r="AP82" s="63" t="s">
        <v>234</v>
      </c>
      <c r="AQ82" s="63" t="s">
        <v>234</v>
      </c>
    </row>
    <row r="83" spans="2:43" ht="18" customHeight="1">
      <c r="B83" s="63"/>
      <c r="C83" s="63" t="s">
        <v>257</v>
      </c>
      <c r="D83" s="63" t="s">
        <v>257</v>
      </c>
      <c r="E83" s="63">
        <v>1</v>
      </c>
      <c r="F83" s="63">
        <v>2</v>
      </c>
      <c r="G83" s="63">
        <v>1</v>
      </c>
      <c r="H83" s="63">
        <v>1</v>
      </c>
      <c r="I83" s="63"/>
      <c r="J83" s="63">
        <v>3</v>
      </c>
      <c r="K83" s="72" t="str">
        <f t="shared" si="8"/>
        <v>001.002.001.001.---.003</v>
      </c>
      <c r="L83" s="72">
        <f t="shared" si="9"/>
        <v>1</v>
      </c>
      <c r="M83" s="72">
        <f t="shared" si="10"/>
        <v>4</v>
      </c>
      <c r="N83" s="72" t="b">
        <f t="shared" si="11"/>
        <v>1</v>
      </c>
      <c r="O83" s="72" t="b">
        <f t="shared" si="12"/>
        <v>1</v>
      </c>
      <c r="P83" s="72" t="b">
        <f t="shared" si="13"/>
        <v>1</v>
      </c>
      <c r="Q83" s="72" t="b">
        <f t="shared" si="14"/>
        <v>0</v>
      </c>
      <c r="R83" s="72" t="str">
        <f t="shared" si="15"/>
        <v>1.2.1.1.T3</v>
      </c>
      <c r="X83" s="60" t="s">
        <v>251</v>
      </c>
      <c r="Z83" s="63">
        <v>1</v>
      </c>
      <c r="AA83" s="63">
        <f>IF(AB83="完了",1,0)</f>
        <v>0</v>
      </c>
      <c r="AB83" s="63" t="s">
        <v>234</v>
      </c>
      <c r="AC83" s="63">
        <f>AM83/IF(AL83+AM83=0,1,AL83+AM83)</f>
        <v>0</v>
      </c>
      <c r="AD83" s="71"/>
      <c r="AE83" s="63">
        <v>1</v>
      </c>
      <c r="AF83" s="63" t="s">
        <v>234</v>
      </c>
      <c r="AG83" s="63" t="s">
        <v>234</v>
      </c>
      <c r="AH83" s="73"/>
      <c r="AI83" s="63"/>
      <c r="AJ83" s="63"/>
      <c r="AK83" s="63"/>
      <c r="AL83" s="63"/>
      <c r="AM83" s="63"/>
      <c r="AN83" s="63"/>
      <c r="AO83" s="63"/>
      <c r="AP83" s="63" t="s">
        <v>234</v>
      </c>
      <c r="AQ83" s="63" t="s">
        <v>234</v>
      </c>
    </row>
    <row r="84" spans="2:43" ht="18" customHeight="1">
      <c r="B84" s="63"/>
      <c r="C84" s="63" t="s">
        <v>257</v>
      </c>
      <c r="D84" s="63" t="s">
        <v>257</v>
      </c>
      <c r="E84" s="63">
        <v>1</v>
      </c>
      <c r="F84" s="63">
        <v>2</v>
      </c>
      <c r="G84" s="63">
        <v>1</v>
      </c>
      <c r="H84" s="63">
        <v>1</v>
      </c>
      <c r="I84" s="63">
        <v>1</v>
      </c>
      <c r="J84" s="63"/>
      <c r="K84" s="72" t="str">
        <f t="shared" si="8"/>
        <v>001.002.001.001.001.---</v>
      </c>
      <c r="L84" s="72">
        <f t="shared" si="9"/>
        <v>1</v>
      </c>
      <c r="M84" s="72">
        <f t="shared" si="10"/>
        <v>5</v>
      </c>
      <c r="N84" s="72" t="b">
        <f t="shared" si="11"/>
        <v>0</v>
      </c>
      <c r="O84" s="72" t="b">
        <f t="shared" si="12"/>
        <v>1</v>
      </c>
      <c r="P84" s="72" t="b">
        <f t="shared" si="13"/>
        <v>1</v>
      </c>
      <c r="Q84" s="72" t="b">
        <f t="shared" si="14"/>
        <v>1</v>
      </c>
      <c r="R84" s="72" t="str">
        <f t="shared" si="15"/>
        <v>1.2.1.1.1</v>
      </c>
      <c r="W84" s="60" t="s">
        <v>252</v>
      </c>
      <c r="Z84" s="63">
        <f>SUM(_xlfn._xlws.FILTER(Z8:Z218,(E8:E218=E84)*(F8:F218=F84)*(G8:G218=G84)*(H8:H218=H84)*(I8:I218=I84)*(N8:N218=TRUE)*(O8:O218=TRUE),0))</f>
        <v>3</v>
      </c>
      <c r="AA84" s="63">
        <f>SUM(_xlfn._xlws.FILTER(AA8:AA218,(E8:E218=E84)*(F8:F218=F84)*(G8:G218=G84)*(H8:H218=H84)*(I8:I218=I84)*(N8:N218=TRUE)*(O8:O218=TRUE),0))</f>
        <v>0</v>
      </c>
      <c r="AB84" s="63" t="s">
        <v>234</v>
      </c>
      <c r="AC84" s="63">
        <f>SUM(_xlfn._xlws.FILTER(AC8:AC218,(E8:E218=E84)*(F8:F218=F84)*(G8:G218=G84)*(H8:H218=H84)*(I8:I218=I84)*(N8:N218=TRUE)*(O8:O218=TRUE),0))/IF(IFERROR(COUNT(_xlfn._xlws.FILTER(AC8:AC218,(E8:E218=E84)*(F8:F218=F84)*(G8:G218=G84)*(H8:H218=H84)*(I8:I218=I84)*(N8:N218=TRUE)*(O8:O218=TRUE))),0)=0,1,IFERROR(COUNT(_xlfn._xlws.FILTER(AC8:AC218,(E8:E218=E84)*(F8:F218=F84)*(G8:G218=G84)*(H8:H218=H84)*(I8:I218=I84)*(N8:N218=TRUE)*(O8:O218=TRUE))),0))</f>
        <v>0</v>
      </c>
      <c r="AD84" s="71">
        <f>SUM(_xlfn._xlws.FILTER(AD8:AD218*(AE8:AE218),(E8:E218=E84)*(F8:F218=F84)*(G8:G218=G84)*(H8:H218=H84)*(I8:I218=I84)*(N8:N218=TRUE)*(O8:O218=TRUE),0))/IF(SUM(_xlfn._xlws.FILTER(AE8:AE218,(E8:E218=E84)*(F8:F218=F84)*(G8:G218=G84)*(H8:H218=H84)*(I8:I218=I84)*(N8:N218=TRUE)*(O8:O218=TRUE),0))=0,1,SUM(_xlfn._xlws.FILTER(AE8:AE218,(E8:E218=E84)*(F8:F218=F84)*(G8:G218=G84)*(H8:H218=H84)*(I8:I218=I84)*(N8:N218=TRUE)*(O8:O218=TRUE),0)))</f>
        <v>0</v>
      </c>
      <c r="AE84" s="63">
        <v>1</v>
      </c>
      <c r="AF84" s="63" t="s">
        <v>234</v>
      </c>
      <c r="AG84" s="63" t="s">
        <v>234</v>
      </c>
      <c r="AH84" s="73"/>
      <c r="AI84" s="63">
        <f>SUM(_xlfn._xlws.FILTER(AI8:AI218,(E8:E218=E84)*(F8:F218=F84)*(G8:G218=G84)*(H8:H218=H84)*(I8:I218=I84)*(N8:N218=TRUE)*(O8:O218=TRUE),0))</f>
        <v>0</v>
      </c>
      <c r="AJ84" s="63"/>
      <c r="AK84" s="63"/>
      <c r="AL84" s="63">
        <f>SUM(_xlfn._xlws.FILTER(AL8:AL218,(E8:E218=E84)*(F8:F218=F84)*(G8:G218=G84)*(H8:H218=H84)*(I8:I218=I84)*(N8:N218=TRUE)*(O8:O218=TRUE),0))</f>
        <v>0</v>
      </c>
      <c r="AM84" s="63">
        <f>SUM(_xlfn._xlws.FILTER(AM8:AM218,(E8:E218=E84)*(F8:F218=F84)*(G8:G218=G84)*(H8:H218=H84)*(I8:I218=I84)*(N8:N218=TRUE)*(O8:O218=TRUE),0))</f>
        <v>0</v>
      </c>
      <c r="AN84" s="63"/>
      <c r="AO84" s="63"/>
      <c r="AP84" s="63" t="s">
        <v>234</v>
      </c>
      <c r="AQ84" s="63" t="s">
        <v>234</v>
      </c>
    </row>
    <row r="85" spans="2:43" ht="18" customHeight="1">
      <c r="B85" s="63"/>
      <c r="C85" s="63" t="s">
        <v>257</v>
      </c>
      <c r="D85" s="63" t="s">
        <v>257</v>
      </c>
      <c r="E85" s="63">
        <v>1</v>
      </c>
      <c r="F85" s="63">
        <v>2</v>
      </c>
      <c r="G85" s="63">
        <v>1</v>
      </c>
      <c r="H85" s="63">
        <v>1</v>
      </c>
      <c r="I85" s="63">
        <v>1</v>
      </c>
      <c r="J85" s="63">
        <v>1</v>
      </c>
      <c r="K85" s="72" t="str">
        <f t="shared" si="8"/>
        <v>001.002.001.001.001.001</v>
      </c>
      <c r="L85" s="72">
        <f t="shared" si="9"/>
        <v>1</v>
      </c>
      <c r="M85" s="72">
        <f t="shared" si="10"/>
        <v>5</v>
      </c>
      <c r="N85" s="72" t="b">
        <f t="shared" si="11"/>
        <v>1</v>
      </c>
      <c r="O85" s="72" t="b">
        <f t="shared" si="12"/>
        <v>1</v>
      </c>
      <c r="P85" s="72" t="b">
        <f t="shared" si="13"/>
        <v>1</v>
      </c>
      <c r="Q85" s="72" t="b">
        <f t="shared" si="14"/>
        <v>0</v>
      </c>
      <c r="R85" s="72" t="str">
        <f t="shared" si="15"/>
        <v>1.2.1.1.1.T1</v>
      </c>
      <c r="X85" s="60" t="s">
        <v>253</v>
      </c>
      <c r="Z85" s="63">
        <v>1</v>
      </c>
      <c r="AA85" s="63">
        <f>IF(AB85="完了",1,0)</f>
        <v>0</v>
      </c>
      <c r="AB85" s="63" t="s">
        <v>234</v>
      </c>
      <c r="AC85" s="63">
        <f>AM85/IF(AL85+AM85=0,1,AL85+AM85)</f>
        <v>0</v>
      </c>
      <c r="AD85" s="71"/>
      <c r="AE85" s="63">
        <v>1</v>
      </c>
      <c r="AF85" s="63" t="s">
        <v>234</v>
      </c>
      <c r="AG85" s="63" t="s">
        <v>234</v>
      </c>
      <c r="AH85" s="73"/>
      <c r="AI85" s="63"/>
      <c r="AJ85" s="63"/>
      <c r="AK85" s="63"/>
      <c r="AL85" s="63"/>
      <c r="AM85" s="63"/>
      <c r="AN85" s="63"/>
      <c r="AO85" s="63"/>
      <c r="AP85" s="63" t="s">
        <v>234</v>
      </c>
      <c r="AQ85" s="63" t="s">
        <v>234</v>
      </c>
    </row>
    <row r="86" spans="2:43" ht="18" customHeight="1">
      <c r="B86" s="63"/>
      <c r="C86" s="63" t="s">
        <v>257</v>
      </c>
      <c r="D86" s="63" t="s">
        <v>257</v>
      </c>
      <c r="E86" s="63">
        <v>1</v>
      </c>
      <c r="F86" s="63">
        <v>2</v>
      </c>
      <c r="G86" s="63">
        <v>1</v>
      </c>
      <c r="H86" s="63">
        <v>1</v>
      </c>
      <c r="I86" s="63">
        <v>1</v>
      </c>
      <c r="J86" s="63">
        <v>2</v>
      </c>
      <c r="K86" s="72" t="str">
        <f t="shared" si="8"/>
        <v>001.002.001.001.001.002</v>
      </c>
      <c r="L86" s="72">
        <f t="shared" si="9"/>
        <v>1</v>
      </c>
      <c r="M86" s="72">
        <f t="shared" si="10"/>
        <v>5</v>
      </c>
      <c r="N86" s="72" t="b">
        <f t="shared" si="11"/>
        <v>1</v>
      </c>
      <c r="O86" s="72" t="b">
        <f t="shared" si="12"/>
        <v>1</v>
      </c>
      <c r="P86" s="72" t="b">
        <f t="shared" si="13"/>
        <v>1</v>
      </c>
      <c r="Q86" s="72" t="b">
        <f t="shared" si="14"/>
        <v>0</v>
      </c>
      <c r="R86" s="72" t="str">
        <f t="shared" si="15"/>
        <v>1.2.1.1.1.T2</v>
      </c>
      <c r="X86" s="60" t="s">
        <v>254</v>
      </c>
      <c r="Z86" s="63">
        <v>1</v>
      </c>
      <c r="AA86" s="63">
        <f>IF(AB86="完了",1,0)</f>
        <v>0</v>
      </c>
      <c r="AB86" s="63" t="s">
        <v>234</v>
      </c>
      <c r="AC86" s="63">
        <f>AM86/IF(AL86+AM86=0,1,AL86+AM86)</f>
        <v>0</v>
      </c>
      <c r="AD86" s="71"/>
      <c r="AE86" s="63">
        <v>1</v>
      </c>
      <c r="AF86" s="63" t="s">
        <v>234</v>
      </c>
      <c r="AG86" s="63" t="s">
        <v>234</v>
      </c>
      <c r="AH86" s="73"/>
      <c r="AI86" s="63"/>
      <c r="AJ86" s="63"/>
      <c r="AK86" s="63"/>
      <c r="AL86" s="63"/>
      <c r="AM86" s="63"/>
      <c r="AN86" s="63"/>
      <c r="AO86" s="63"/>
      <c r="AP86" s="63" t="s">
        <v>234</v>
      </c>
      <c r="AQ86" s="63" t="s">
        <v>234</v>
      </c>
    </row>
    <row r="87" spans="2:43" ht="18" customHeight="1">
      <c r="B87" s="63"/>
      <c r="C87" s="63" t="s">
        <v>257</v>
      </c>
      <c r="D87" s="63" t="s">
        <v>257</v>
      </c>
      <c r="E87" s="63">
        <v>1</v>
      </c>
      <c r="F87" s="63">
        <v>2</v>
      </c>
      <c r="G87" s="63">
        <v>1</v>
      </c>
      <c r="H87" s="63">
        <v>1</v>
      </c>
      <c r="I87" s="63">
        <v>1</v>
      </c>
      <c r="J87" s="63">
        <v>3</v>
      </c>
      <c r="K87" s="72" t="str">
        <f t="shared" si="8"/>
        <v>001.002.001.001.001.003</v>
      </c>
      <c r="L87" s="72">
        <f t="shared" si="9"/>
        <v>1</v>
      </c>
      <c r="M87" s="72">
        <f t="shared" si="10"/>
        <v>5</v>
      </c>
      <c r="N87" s="72" t="b">
        <f t="shared" si="11"/>
        <v>1</v>
      </c>
      <c r="O87" s="72" t="b">
        <f t="shared" si="12"/>
        <v>1</v>
      </c>
      <c r="P87" s="72" t="b">
        <f t="shared" si="13"/>
        <v>1</v>
      </c>
      <c r="Q87" s="72" t="b">
        <f t="shared" si="14"/>
        <v>0</v>
      </c>
      <c r="R87" s="72" t="str">
        <f t="shared" si="15"/>
        <v>1.2.1.1.1.T3</v>
      </c>
      <c r="Z87" s="63">
        <v>1</v>
      </c>
      <c r="AA87" s="63">
        <f>IF(AB87="完了",1,0)</f>
        <v>0</v>
      </c>
      <c r="AB87" s="63" t="s">
        <v>234</v>
      </c>
      <c r="AC87" s="63">
        <f>AM87/IF(AL87+AM87=0,1,AL87+AM87)</f>
        <v>0</v>
      </c>
      <c r="AD87" s="71"/>
      <c r="AE87" s="63">
        <v>1</v>
      </c>
      <c r="AF87" s="63" t="s">
        <v>234</v>
      </c>
      <c r="AG87" s="63" t="s">
        <v>234</v>
      </c>
      <c r="AH87" s="73"/>
      <c r="AI87" s="63"/>
      <c r="AJ87" s="63"/>
      <c r="AK87" s="63"/>
      <c r="AL87" s="63"/>
      <c r="AM87" s="63"/>
      <c r="AN87" s="63"/>
      <c r="AO87" s="63"/>
      <c r="AP87" s="63" t="s">
        <v>234</v>
      </c>
      <c r="AQ87" s="63" t="s">
        <v>234</v>
      </c>
    </row>
    <row r="88" spans="2:43" ht="18" customHeight="1">
      <c r="B88" s="63"/>
      <c r="C88" s="63" t="s">
        <v>257</v>
      </c>
      <c r="D88" s="63" t="s">
        <v>257</v>
      </c>
      <c r="E88" s="63">
        <v>1</v>
      </c>
      <c r="F88" s="63">
        <v>2</v>
      </c>
      <c r="G88" s="63">
        <v>1</v>
      </c>
      <c r="H88" s="63">
        <v>1</v>
      </c>
      <c r="I88" s="63">
        <v>2</v>
      </c>
      <c r="J88" s="63"/>
      <c r="K88" s="72" t="str">
        <f t="shared" si="8"/>
        <v>001.002.001.001.002.---</v>
      </c>
      <c r="L88" s="72">
        <f t="shared" si="9"/>
        <v>1</v>
      </c>
      <c r="M88" s="72">
        <f t="shared" si="10"/>
        <v>5</v>
      </c>
      <c r="N88" s="72" t="b">
        <f t="shared" si="11"/>
        <v>0</v>
      </c>
      <c r="O88" s="72" t="b">
        <f t="shared" si="12"/>
        <v>1</v>
      </c>
      <c r="P88" s="72" t="b">
        <f t="shared" si="13"/>
        <v>1</v>
      </c>
      <c r="Q88" s="72" t="b">
        <f t="shared" si="14"/>
        <v>1</v>
      </c>
      <c r="R88" s="72" t="str">
        <f t="shared" si="15"/>
        <v>1.2.1.1.2</v>
      </c>
      <c r="Z88" s="63">
        <f>SUM(_xlfn._xlws.FILTER(Z8:Z218,(E8:E218=E88)*(F8:F218=F88)*(G8:G218=G88)*(H8:H218=H88)*(I8:I218=I88)*(N8:N218=TRUE)*(O8:O218=TRUE),0))</f>
        <v>3</v>
      </c>
      <c r="AA88" s="63">
        <f>SUM(_xlfn._xlws.FILTER(AA8:AA218,(E8:E218=E88)*(F8:F218=F88)*(G8:G218=G88)*(H8:H218=H88)*(I8:I218=I88)*(N8:N218=TRUE)*(O8:O218=TRUE),0))</f>
        <v>0</v>
      </c>
      <c r="AB88" s="63" t="s">
        <v>234</v>
      </c>
      <c r="AC88" s="63">
        <f>SUM(_xlfn._xlws.FILTER(AC8:AC218,(E8:E218=E88)*(F8:F218=F88)*(G8:G218=G88)*(H8:H218=H88)*(I8:I218=I88)*(N8:N218=TRUE)*(O8:O218=TRUE),0))/IF(IFERROR(COUNT(_xlfn._xlws.FILTER(AC8:AC218,(E8:E218=E88)*(F8:F218=F88)*(G8:G218=G88)*(H8:H218=H88)*(I8:I218=I88)*(N8:N218=TRUE)*(O8:O218=TRUE))),0)=0,1,IFERROR(COUNT(_xlfn._xlws.FILTER(AC8:AC218,(E8:E218=E88)*(F8:F218=F88)*(G8:G218=G88)*(H8:H218=H88)*(I8:I218=I88)*(N8:N218=TRUE)*(O8:O218=TRUE))),0))</f>
        <v>0</v>
      </c>
      <c r="AD88" s="71">
        <f>SUM(_xlfn._xlws.FILTER(AD8:AD218*(AE8:AE218),(E8:E218=E88)*(F8:F218=F88)*(G8:G218=G88)*(H8:H218=H88)*(I8:I218=I88)*(N8:N218=TRUE)*(O8:O218=TRUE),0))/IF(SUM(_xlfn._xlws.FILTER(AE8:AE218,(E8:E218=E88)*(F8:F218=F88)*(G8:G218=G88)*(H8:H218=H88)*(I8:I218=I88)*(N8:N218=TRUE)*(O8:O218=TRUE),0))=0,1,SUM(_xlfn._xlws.FILTER(AE8:AE218,(E8:E218=E88)*(F8:F218=F88)*(G8:G218=G88)*(H8:H218=H88)*(I8:I218=I88)*(N8:N218=TRUE)*(O8:O218=TRUE),0)))</f>
        <v>0</v>
      </c>
      <c r="AE88" s="63">
        <v>1</v>
      </c>
      <c r="AF88" s="63" t="s">
        <v>234</v>
      </c>
      <c r="AG88" s="63" t="s">
        <v>234</v>
      </c>
      <c r="AH88" s="73"/>
      <c r="AI88" s="63">
        <f>SUM(_xlfn._xlws.FILTER(AI8:AI218,(E8:E218=E88)*(F8:F218=F88)*(G8:G218=G88)*(H8:H218=H88)*(I8:I218=I88)*(N8:N218=TRUE)*(O8:O218=TRUE),0))</f>
        <v>0</v>
      </c>
      <c r="AJ88" s="63"/>
      <c r="AK88" s="63"/>
      <c r="AL88" s="63">
        <f>SUM(_xlfn._xlws.FILTER(AL8:AL218,(E8:E218=E88)*(F8:F218=F88)*(G8:G218=G88)*(H8:H218=H88)*(I8:I218=I88)*(N8:N218=TRUE)*(O8:O218=TRUE),0))</f>
        <v>0</v>
      </c>
      <c r="AM88" s="63">
        <f>SUM(_xlfn._xlws.FILTER(AM8:AM218,(E8:E218=E88)*(F8:F218=F88)*(G8:G218=G88)*(H8:H218=H88)*(I8:I218=I88)*(N8:N218=TRUE)*(O8:O218=TRUE),0))</f>
        <v>0</v>
      </c>
      <c r="AN88" s="63"/>
      <c r="AO88" s="63"/>
      <c r="AP88" s="63" t="s">
        <v>234</v>
      </c>
      <c r="AQ88" s="63" t="s">
        <v>234</v>
      </c>
    </row>
    <row r="89" spans="2:43" ht="18" customHeight="1">
      <c r="B89" s="63"/>
      <c r="C89" s="63" t="s">
        <v>257</v>
      </c>
      <c r="D89" s="63" t="s">
        <v>257</v>
      </c>
      <c r="E89" s="63">
        <v>1</v>
      </c>
      <c r="F89" s="63">
        <v>2</v>
      </c>
      <c r="G89" s="63">
        <v>1</v>
      </c>
      <c r="H89" s="63">
        <v>1</v>
      </c>
      <c r="I89" s="63">
        <v>2</v>
      </c>
      <c r="J89" s="63">
        <v>1</v>
      </c>
      <c r="K89" s="72" t="str">
        <f t="shared" si="8"/>
        <v>001.002.001.001.002.001</v>
      </c>
      <c r="L89" s="72">
        <f t="shared" si="9"/>
        <v>1</v>
      </c>
      <c r="M89" s="72">
        <f t="shared" si="10"/>
        <v>5</v>
      </c>
      <c r="N89" s="72" t="b">
        <f t="shared" si="11"/>
        <v>1</v>
      </c>
      <c r="O89" s="72" t="b">
        <f t="shared" si="12"/>
        <v>1</v>
      </c>
      <c r="P89" s="72" t="b">
        <f t="shared" si="13"/>
        <v>1</v>
      </c>
      <c r="Q89" s="72" t="b">
        <f t="shared" si="14"/>
        <v>0</v>
      </c>
      <c r="R89" s="72" t="str">
        <f t="shared" si="15"/>
        <v>1.2.1.1.2.T1</v>
      </c>
      <c r="X89" s="60" t="s">
        <v>253</v>
      </c>
      <c r="Z89" s="63">
        <v>1</v>
      </c>
      <c r="AA89" s="63">
        <f>IF(AB89="完了",1,0)</f>
        <v>0</v>
      </c>
      <c r="AB89" s="63" t="s">
        <v>234</v>
      </c>
      <c r="AC89" s="63">
        <f>AM89/IF(AL89+AM89=0,1,AL89+AM89)</f>
        <v>0</v>
      </c>
      <c r="AD89" s="71"/>
      <c r="AE89" s="63">
        <v>1</v>
      </c>
      <c r="AF89" s="63" t="s">
        <v>234</v>
      </c>
      <c r="AG89" s="63" t="s">
        <v>234</v>
      </c>
      <c r="AH89" s="73"/>
      <c r="AI89" s="63"/>
      <c r="AJ89" s="63"/>
      <c r="AK89" s="63"/>
      <c r="AL89" s="63"/>
      <c r="AM89" s="63"/>
      <c r="AN89" s="63"/>
      <c r="AO89" s="63"/>
      <c r="AP89" s="63" t="s">
        <v>234</v>
      </c>
      <c r="AQ89" s="63" t="s">
        <v>234</v>
      </c>
    </row>
    <row r="90" spans="2:43" ht="18" customHeight="1">
      <c r="B90" s="63"/>
      <c r="C90" s="63" t="s">
        <v>257</v>
      </c>
      <c r="D90" s="63" t="s">
        <v>257</v>
      </c>
      <c r="E90" s="63">
        <v>1</v>
      </c>
      <c r="F90" s="63">
        <v>2</v>
      </c>
      <c r="G90" s="63">
        <v>1</v>
      </c>
      <c r="H90" s="63">
        <v>1</v>
      </c>
      <c r="I90" s="63">
        <v>2</v>
      </c>
      <c r="J90" s="63">
        <v>2</v>
      </c>
      <c r="K90" s="72" t="str">
        <f t="shared" si="8"/>
        <v>001.002.001.001.002.002</v>
      </c>
      <c r="L90" s="72">
        <f t="shared" si="9"/>
        <v>1</v>
      </c>
      <c r="M90" s="72">
        <f t="shared" si="10"/>
        <v>5</v>
      </c>
      <c r="N90" s="72" t="b">
        <f t="shared" si="11"/>
        <v>1</v>
      </c>
      <c r="O90" s="72" t="b">
        <f t="shared" si="12"/>
        <v>1</v>
      </c>
      <c r="P90" s="72" t="b">
        <f t="shared" si="13"/>
        <v>1</v>
      </c>
      <c r="Q90" s="72" t="b">
        <f t="shared" si="14"/>
        <v>0</v>
      </c>
      <c r="R90" s="72" t="str">
        <f t="shared" si="15"/>
        <v>1.2.1.1.2.T2</v>
      </c>
      <c r="X90" s="60" t="s">
        <v>254</v>
      </c>
      <c r="Z90" s="63">
        <v>1</v>
      </c>
      <c r="AA90" s="63">
        <f>IF(AB90="完了",1,0)</f>
        <v>0</v>
      </c>
      <c r="AB90" s="63" t="s">
        <v>234</v>
      </c>
      <c r="AC90" s="63">
        <f>AM90/IF(AL90+AM90=0,1,AL90+AM90)</f>
        <v>0</v>
      </c>
      <c r="AD90" s="71"/>
      <c r="AE90" s="63">
        <v>1</v>
      </c>
      <c r="AF90" s="63" t="s">
        <v>234</v>
      </c>
      <c r="AG90" s="63" t="s">
        <v>234</v>
      </c>
      <c r="AH90" s="73"/>
      <c r="AI90" s="63"/>
      <c r="AJ90" s="63"/>
      <c r="AK90" s="63"/>
      <c r="AL90" s="63"/>
      <c r="AM90" s="63"/>
      <c r="AN90" s="63"/>
      <c r="AO90" s="63"/>
      <c r="AP90" s="63" t="s">
        <v>234</v>
      </c>
      <c r="AQ90" s="63" t="s">
        <v>234</v>
      </c>
    </row>
    <row r="91" spans="2:43" ht="18" customHeight="1">
      <c r="B91" s="63"/>
      <c r="C91" s="63" t="s">
        <v>257</v>
      </c>
      <c r="D91" s="63" t="s">
        <v>257</v>
      </c>
      <c r="E91" s="63">
        <v>1</v>
      </c>
      <c r="F91" s="63">
        <v>2</v>
      </c>
      <c r="G91" s="63">
        <v>1</v>
      </c>
      <c r="H91" s="63">
        <v>1</v>
      </c>
      <c r="I91" s="63">
        <v>2</v>
      </c>
      <c r="J91" s="63">
        <v>3</v>
      </c>
      <c r="K91" s="72" t="str">
        <f t="shared" si="8"/>
        <v>001.002.001.001.002.003</v>
      </c>
      <c r="L91" s="72">
        <f t="shared" si="9"/>
        <v>1</v>
      </c>
      <c r="M91" s="72">
        <f t="shared" si="10"/>
        <v>5</v>
      </c>
      <c r="N91" s="72" t="b">
        <f t="shared" si="11"/>
        <v>1</v>
      </c>
      <c r="O91" s="72" t="b">
        <f t="shared" si="12"/>
        <v>1</v>
      </c>
      <c r="P91" s="72" t="b">
        <f t="shared" si="13"/>
        <v>1</v>
      </c>
      <c r="Q91" s="72" t="b">
        <f t="shared" si="14"/>
        <v>0</v>
      </c>
      <c r="R91" s="72" t="str">
        <f t="shared" si="15"/>
        <v>1.2.1.1.2.T3</v>
      </c>
      <c r="Z91" s="63">
        <v>1</v>
      </c>
      <c r="AA91" s="63">
        <f>IF(AB91="完了",1,0)</f>
        <v>0</v>
      </c>
      <c r="AB91" s="63" t="s">
        <v>234</v>
      </c>
      <c r="AC91" s="63">
        <f>AM91/IF(AL91+AM91=0,1,AL91+AM91)</f>
        <v>0</v>
      </c>
      <c r="AD91" s="71"/>
      <c r="AE91" s="63">
        <v>1</v>
      </c>
      <c r="AF91" s="63" t="s">
        <v>234</v>
      </c>
      <c r="AG91" s="63" t="s">
        <v>234</v>
      </c>
      <c r="AH91" s="73"/>
      <c r="AI91" s="63"/>
      <c r="AJ91" s="63"/>
      <c r="AK91" s="63"/>
      <c r="AL91" s="63"/>
      <c r="AM91" s="63"/>
      <c r="AN91" s="63"/>
      <c r="AO91" s="63"/>
      <c r="AP91" s="63" t="s">
        <v>234</v>
      </c>
      <c r="AQ91" s="63" t="s">
        <v>234</v>
      </c>
    </row>
    <row r="92" spans="2:43" ht="18" customHeight="1">
      <c r="B92" s="63"/>
      <c r="C92" s="63" t="s">
        <v>257</v>
      </c>
      <c r="D92" s="63" t="s">
        <v>257</v>
      </c>
      <c r="E92" s="63">
        <v>1</v>
      </c>
      <c r="F92" s="63">
        <v>2</v>
      </c>
      <c r="G92" s="63">
        <v>1</v>
      </c>
      <c r="H92" s="63">
        <v>2</v>
      </c>
      <c r="I92" s="63"/>
      <c r="J92" s="63"/>
      <c r="K92" s="72" t="str">
        <f t="shared" si="8"/>
        <v>001.002.001.002.---.---</v>
      </c>
      <c r="L92" s="72">
        <f t="shared" si="9"/>
        <v>1</v>
      </c>
      <c r="M92" s="72">
        <f t="shared" si="10"/>
        <v>4</v>
      </c>
      <c r="N92" s="72" t="b">
        <f t="shared" si="11"/>
        <v>0</v>
      </c>
      <c r="O92" s="72" t="b">
        <f t="shared" si="12"/>
        <v>1</v>
      </c>
      <c r="P92" s="72" t="b">
        <f t="shared" si="13"/>
        <v>1</v>
      </c>
      <c r="Q92" s="72" t="b">
        <f t="shared" si="14"/>
        <v>1</v>
      </c>
      <c r="R92" s="72" t="str">
        <f t="shared" si="15"/>
        <v>1.2.1.2</v>
      </c>
      <c r="Z92" s="63">
        <f>SUM(_xlfn._xlws.FILTER(Z8:Z218,(E8:E218=E92)*(F8:F218=F92)*(G8:G218=G92)*(H8:H218=H92)*(ISNUMBER(I8:I218))*(N8:N218=FALSE)*(O8:O218=TRUE),0))+SUM(_xlfn._xlws.FILTER(Z8:Z218,(E8:E218=E92)*(F8:F218=F92)*(G8:G218=G92)*(H8:H218=H92)*(I8:I218="")*(N8:N218=TRUE)*(O8:O218=TRUE),0))</f>
        <v>9</v>
      </c>
      <c r="AA92" s="63">
        <f>SUM(_xlfn._xlws.FILTER(AA8:AA218,(E8:E218=E92)*(F8:F218=F92)*(G8:G218=G92)*(H8:H218=H92)*(ISNUMBER(I8:I218))*(N8:N218=FALSE)*(O8:O218=TRUE),0))+SUM(_xlfn._xlws.FILTER(AA8:AA218,(E8:E218=E92)*(F8:F218=F92)*(G8:G218=G92)*(H8:H218=H92)*(I8:I218="")*(N8:N218=TRUE)*(O8:O218=TRUE),0))</f>
        <v>1</v>
      </c>
      <c r="AB92" s="63" t="s">
        <v>234</v>
      </c>
      <c r="AC92" s="63">
        <f>(SUM(_xlfn._xlws.FILTER(AC8:AC218,(E8:E218=E92)*(F8:F218=F92)*(G8:G218=G92)*(H8:H218=H92)*(ISNUMBER(I8:I218))*(N8:N218=FALSE)*(O8:O218=TRUE),0))+SUM(_xlfn._xlws.FILTER(AC8:AC218,(E8:E218=E92)*(F8:F218=F92)*(G8:G218=G92)*(H8:H218=H92)*(I8:I218="")*(N8:N218=TRUE)*(O8:O218=TRUE),0)))/IF(IFERROR(COUNT(_xlfn._xlws.FILTER(AC8:AC218,(E8:E218=E92)*(F8:F218=F92)*(G8:G218=G92)*(H8:H218=H92)*(ISNUMBER(I8:I218))*(N8:N218=FALSE)*(O8:O218=TRUE))),0)+IFERROR(COUNT(_xlfn._xlws.FILTER(AC8:AC218,(E8:E218=E92)*(F8:F218=F92)*(G8:G218=G92)*(H8:H218=H92)*(I8:I218="")*(N8:N218=TRUE)*(O8:O218=TRUE))),0)=0,1,IFERROR(COUNT(_xlfn._xlws.FILTER(AC8:AC218,(E8:E218=E92)*(F8:F218=F92)*(G8:G218=G92)*(H8:H218=H92)*(ISNUMBER(I8:I218))*(N8:N218=FALSE)*(O8:O218=TRUE))),0)+IFERROR(COUNT(_xlfn._xlws.FILTER(AC8:AC218,(E8:E218=E92)*(F8:F218=F92)*(G8:G218=G92)*(H8:H218=H92)*(I8:I218="")*(N8:N218=TRUE)*(O8:O218=TRUE))),0))</f>
        <v>0</v>
      </c>
      <c r="AD92" s="71">
        <f>(SUM(_xlfn._xlws.FILTER(AD8:AD218*(AE8:AE218),(E8:E218=E92)*(F8:F218=F92)*(G8:G218=G92)*(H8:H218=H92)*(ISNUMBER(I8:I218))*(N8:N218=FALSE)*(O8:O218=TRUE),0))+SUM(_xlfn._xlws.FILTER(AD8:AD218*(AE8:AE218),(E8:E218=E92)*(F8:F218=F92)*(G8:G218=G92)*(H8:H218=H92)*(I8:I218="")*(N8:N218=TRUE)*(O8:O218=TRUE),0)))/IF(SUM(_xlfn._xlws.FILTER(AE8:AE218,(E8:E218=E92)*(F8:F218=F92)*(G8:G218=G92)*(H8:H218=H92)*(ISNUMBER(I8:I218))*(N8:N218=FALSE)*(O8:O218=TRUE),0))+SUM(_xlfn._xlws.FILTER(AE8:AE218,(E8:E218=E92)*(F8:F218=F92)*(G8:G218=G92)*(H8:H218=H92)*(I8:I218="")*(N8:N218=TRUE)*(O8:O218=TRUE),0))=0,1,SUM(_xlfn._xlws.FILTER(AE8:AE218,(E8:E218=E92)*(F8:F218=F92)*(G8:G218=G92)*(H8:H218=H92)*(ISNUMBER(I8:I218))*(N8:N218=FALSE)*(O8:O218=TRUE),0))+SUM(_xlfn._xlws.FILTER(AE8:AE218,(E8:E218=E92)*(F8:F218=F92)*(G8:G218=G92)*(H8:H218=H92)*(I8:I218="")*(N8:N218=TRUE)*(O8:O218=TRUE),0)))</f>
        <v>0</v>
      </c>
      <c r="AE92" s="63">
        <v>1</v>
      </c>
      <c r="AF92" s="63" t="s">
        <v>234</v>
      </c>
      <c r="AG92" s="63" t="s">
        <v>234</v>
      </c>
      <c r="AH92" s="73"/>
      <c r="AI92" s="63">
        <f>SUM(_xlfn._xlws.FILTER(AI8:AI218,(E8:E218=E92)*(F8:F218=F92)*(G8:G218=G92)*(H8:H218=H92)*(ISNUMBER(I8:I218))*(N8:N218=FALSE)*(O8:O218=TRUE),0))+SUM(_xlfn._xlws.FILTER(AI8:AI218,(E8:E218=E92)*(F8:F218=F92)*(G8:G218=G92)*(H8:H218=H92)*(I8:I218="")*(N8:N218=TRUE)*(O8:O218=TRUE),0))</f>
        <v>0</v>
      </c>
      <c r="AJ92" s="63"/>
      <c r="AK92" s="63"/>
      <c r="AL92" s="63">
        <f>SUM(_xlfn._xlws.FILTER(AL8:AL218,(E8:E218=E92)*(F8:F218=F92)*(G8:G218=G92)*(H8:H218=H92)*(ISNUMBER(I8:I218))*(N8:N218=FALSE)*(O8:O218=TRUE),0))+SUM(_xlfn._xlws.FILTER(AL8:AL218,(E8:E218=E92)*(F8:F218=F92)*(G8:G218=G92)*(H8:H218=H92)*(I8:I218="")*(N8:N218=TRUE)*(O8:O218=TRUE),0))</f>
        <v>0</v>
      </c>
      <c r="AM92" s="63">
        <f>SUM(_xlfn._xlws.FILTER(AM8:AM218,(E8:E218=E92)*(F8:F218=F92)*(G8:G218=G92)*(H8:H218=H92)*(ISNUMBER(I8:I218))*(N8:N218=FALSE)*(O8:O218=TRUE),0))+SUM(_xlfn._xlws.FILTER(AM8:AM218,(E8:E218=E92)*(F8:F218=F92)*(G8:G218=G92)*(H8:H218=H92)*(I8:I218="")*(N8:N218=TRUE)*(O8:O218=TRUE),0))</f>
        <v>0</v>
      </c>
      <c r="AN92" s="63"/>
      <c r="AO92" s="63"/>
      <c r="AP92" s="63" t="s">
        <v>234</v>
      </c>
      <c r="AQ92" s="63" t="s">
        <v>234</v>
      </c>
    </row>
    <row r="93" spans="2:43" ht="18" customHeight="1">
      <c r="B93" s="63"/>
      <c r="C93" s="63" t="s">
        <v>257</v>
      </c>
      <c r="D93" s="63" t="s">
        <v>257</v>
      </c>
      <c r="E93" s="63">
        <v>1</v>
      </c>
      <c r="F93" s="63">
        <v>2</v>
      </c>
      <c r="G93" s="63">
        <v>1</v>
      </c>
      <c r="H93" s="63">
        <v>2</v>
      </c>
      <c r="I93" s="63"/>
      <c r="J93" s="63">
        <v>1</v>
      </c>
      <c r="K93" s="72" t="str">
        <f t="shared" si="8"/>
        <v>001.002.001.002.---.001</v>
      </c>
      <c r="L93" s="72">
        <f t="shared" si="9"/>
        <v>1</v>
      </c>
      <c r="M93" s="72">
        <f t="shared" si="10"/>
        <v>4</v>
      </c>
      <c r="N93" s="72" t="b">
        <f t="shared" si="11"/>
        <v>1</v>
      </c>
      <c r="O93" s="72" t="b">
        <f t="shared" si="12"/>
        <v>1</v>
      </c>
      <c r="P93" s="72" t="b">
        <f t="shared" si="13"/>
        <v>1</v>
      </c>
      <c r="Q93" s="72" t="b">
        <f t="shared" si="14"/>
        <v>0</v>
      </c>
      <c r="R93" s="72" t="str">
        <f t="shared" si="15"/>
        <v>1.2.1.2.T1</v>
      </c>
      <c r="X93" s="60" t="s">
        <v>248</v>
      </c>
      <c r="Z93" s="63">
        <v>1</v>
      </c>
      <c r="AA93" s="63">
        <f>IF(AB93="完了",1,0)</f>
        <v>1</v>
      </c>
      <c r="AB93" s="63" t="s">
        <v>204</v>
      </c>
      <c r="AC93" s="63">
        <f>AM93/IF(AL93+AM93=0,1,AL93+AM93)</f>
        <v>0</v>
      </c>
      <c r="AD93" s="71"/>
      <c r="AE93" s="63">
        <v>1</v>
      </c>
      <c r="AF93" s="63" t="s">
        <v>234</v>
      </c>
      <c r="AG93" s="63" t="s">
        <v>234</v>
      </c>
      <c r="AH93" s="73"/>
      <c r="AI93" s="63"/>
      <c r="AJ93" s="63"/>
      <c r="AK93" s="63"/>
      <c r="AL93" s="63"/>
      <c r="AM93" s="63"/>
      <c r="AN93" s="63"/>
      <c r="AO93" s="63"/>
      <c r="AP93" s="63" t="s">
        <v>234</v>
      </c>
      <c r="AQ93" s="63" t="s">
        <v>234</v>
      </c>
    </row>
    <row r="94" spans="2:43" ht="18" customHeight="1">
      <c r="B94" s="63"/>
      <c r="C94" s="63" t="s">
        <v>257</v>
      </c>
      <c r="D94" s="63" t="s">
        <v>257</v>
      </c>
      <c r="E94" s="63">
        <v>1</v>
      </c>
      <c r="F94" s="63">
        <v>2</v>
      </c>
      <c r="G94" s="63">
        <v>1</v>
      </c>
      <c r="H94" s="63">
        <v>2</v>
      </c>
      <c r="I94" s="63"/>
      <c r="J94" s="63">
        <v>2</v>
      </c>
      <c r="K94" s="72" t="str">
        <f t="shared" si="8"/>
        <v>001.002.001.002.---.002</v>
      </c>
      <c r="L94" s="72">
        <f t="shared" si="9"/>
        <v>1</v>
      </c>
      <c r="M94" s="72">
        <f t="shared" si="10"/>
        <v>4</v>
      </c>
      <c r="N94" s="72" t="b">
        <f t="shared" si="11"/>
        <v>1</v>
      </c>
      <c r="O94" s="72" t="b">
        <f t="shared" si="12"/>
        <v>1</v>
      </c>
      <c r="P94" s="72" t="b">
        <f t="shared" si="13"/>
        <v>1</v>
      </c>
      <c r="Q94" s="72" t="b">
        <f t="shared" si="14"/>
        <v>0</v>
      </c>
      <c r="R94" s="72" t="str">
        <f t="shared" si="15"/>
        <v>1.2.1.2.T2</v>
      </c>
      <c r="X94" s="60" t="s">
        <v>249</v>
      </c>
      <c r="Z94" s="63">
        <v>1</v>
      </c>
      <c r="AA94" s="63">
        <f>IF(AB94="完了",1,0)</f>
        <v>0</v>
      </c>
      <c r="AB94" s="63" t="s">
        <v>250</v>
      </c>
      <c r="AC94" s="63">
        <f>AM94/IF(AL94+AM94=0,1,AL94+AM94)</f>
        <v>0</v>
      </c>
      <c r="AD94" s="71"/>
      <c r="AE94" s="63">
        <v>1</v>
      </c>
      <c r="AF94" s="63" t="s">
        <v>234</v>
      </c>
      <c r="AG94" s="63" t="s">
        <v>234</v>
      </c>
      <c r="AH94" s="73"/>
      <c r="AI94" s="63"/>
      <c r="AJ94" s="63"/>
      <c r="AK94" s="63"/>
      <c r="AL94" s="63"/>
      <c r="AM94" s="63"/>
      <c r="AN94" s="63"/>
      <c r="AO94" s="63"/>
      <c r="AP94" s="63" t="s">
        <v>234</v>
      </c>
      <c r="AQ94" s="63" t="s">
        <v>234</v>
      </c>
    </row>
    <row r="95" spans="2:43" ht="18" customHeight="1">
      <c r="B95" s="63"/>
      <c r="C95" s="63" t="s">
        <v>257</v>
      </c>
      <c r="D95" s="63" t="s">
        <v>257</v>
      </c>
      <c r="E95" s="63">
        <v>1</v>
      </c>
      <c r="F95" s="63">
        <v>2</v>
      </c>
      <c r="G95" s="63">
        <v>1</v>
      </c>
      <c r="H95" s="63">
        <v>2</v>
      </c>
      <c r="I95" s="63"/>
      <c r="J95" s="63">
        <v>3</v>
      </c>
      <c r="K95" s="72" t="str">
        <f t="shared" si="8"/>
        <v>001.002.001.002.---.003</v>
      </c>
      <c r="L95" s="72">
        <f t="shared" si="9"/>
        <v>1</v>
      </c>
      <c r="M95" s="72">
        <f t="shared" si="10"/>
        <v>4</v>
      </c>
      <c r="N95" s="72" t="b">
        <f t="shared" si="11"/>
        <v>1</v>
      </c>
      <c r="O95" s="72" t="b">
        <f t="shared" si="12"/>
        <v>1</v>
      </c>
      <c r="P95" s="72" t="b">
        <f t="shared" si="13"/>
        <v>1</v>
      </c>
      <c r="Q95" s="72" t="b">
        <f t="shared" si="14"/>
        <v>0</v>
      </c>
      <c r="R95" s="72" t="str">
        <f t="shared" si="15"/>
        <v>1.2.1.2.T3</v>
      </c>
      <c r="X95" s="60" t="s">
        <v>251</v>
      </c>
      <c r="Z95" s="63">
        <v>1</v>
      </c>
      <c r="AA95" s="63">
        <f>IF(AB95="完了",1,0)</f>
        <v>0</v>
      </c>
      <c r="AB95" s="63" t="s">
        <v>234</v>
      </c>
      <c r="AC95" s="63">
        <f>AM95/IF(AL95+AM95=0,1,AL95+AM95)</f>
        <v>0</v>
      </c>
      <c r="AD95" s="71"/>
      <c r="AE95" s="63">
        <v>1</v>
      </c>
      <c r="AF95" s="63" t="s">
        <v>234</v>
      </c>
      <c r="AG95" s="63" t="s">
        <v>234</v>
      </c>
      <c r="AH95" s="73"/>
      <c r="AI95" s="63"/>
      <c r="AJ95" s="63"/>
      <c r="AK95" s="63"/>
      <c r="AL95" s="63"/>
      <c r="AM95" s="63"/>
      <c r="AN95" s="63"/>
      <c r="AO95" s="63"/>
      <c r="AP95" s="63" t="s">
        <v>234</v>
      </c>
      <c r="AQ95" s="63" t="s">
        <v>234</v>
      </c>
    </row>
    <row r="96" spans="2:43" ht="18" customHeight="1">
      <c r="B96" s="63"/>
      <c r="C96" s="63" t="s">
        <v>257</v>
      </c>
      <c r="D96" s="63" t="s">
        <v>257</v>
      </c>
      <c r="E96" s="63">
        <v>1</v>
      </c>
      <c r="F96" s="63">
        <v>2</v>
      </c>
      <c r="G96" s="63">
        <v>1</v>
      </c>
      <c r="H96" s="63">
        <v>2</v>
      </c>
      <c r="I96" s="63">
        <v>1</v>
      </c>
      <c r="J96" s="63"/>
      <c r="K96" s="72" t="str">
        <f t="shared" si="8"/>
        <v>001.002.001.002.001.---</v>
      </c>
      <c r="L96" s="72">
        <f t="shared" si="9"/>
        <v>1</v>
      </c>
      <c r="M96" s="72">
        <f t="shared" si="10"/>
        <v>5</v>
      </c>
      <c r="N96" s="72" t="b">
        <f t="shared" si="11"/>
        <v>0</v>
      </c>
      <c r="O96" s="72" t="b">
        <f t="shared" si="12"/>
        <v>1</v>
      </c>
      <c r="P96" s="72" t="b">
        <f t="shared" si="13"/>
        <v>1</v>
      </c>
      <c r="Q96" s="72" t="b">
        <f t="shared" si="14"/>
        <v>1</v>
      </c>
      <c r="R96" s="72" t="str">
        <f t="shared" si="15"/>
        <v>1.2.1.2.1</v>
      </c>
      <c r="W96" s="60" t="s">
        <v>252</v>
      </c>
      <c r="Z96" s="63">
        <f>SUM(_xlfn._xlws.FILTER(Z8:Z218,(E8:E218=E96)*(F8:F218=F96)*(G8:G218=G96)*(H8:H218=H96)*(I8:I218=I96)*(N8:N218=TRUE)*(O8:O218=TRUE),0))</f>
        <v>3</v>
      </c>
      <c r="AA96" s="63">
        <f>SUM(_xlfn._xlws.FILTER(AA8:AA218,(E8:E218=E96)*(F8:F218=F96)*(G8:G218=G96)*(H8:H218=H96)*(I8:I218=I96)*(N8:N218=TRUE)*(O8:O218=TRUE),0))</f>
        <v>0</v>
      </c>
      <c r="AB96" s="63" t="s">
        <v>234</v>
      </c>
      <c r="AC96" s="63">
        <f>SUM(_xlfn._xlws.FILTER(AC8:AC218,(E8:E218=E96)*(F8:F218=F96)*(G8:G218=G96)*(H8:H218=H96)*(I8:I218=I96)*(N8:N218=TRUE)*(O8:O218=TRUE),0))/IF(IFERROR(COUNT(_xlfn._xlws.FILTER(AC8:AC218,(E8:E218=E96)*(F8:F218=F96)*(G8:G218=G96)*(H8:H218=H96)*(I8:I218=I96)*(N8:N218=TRUE)*(O8:O218=TRUE))),0)=0,1,IFERROR(COUNT(_xlfn._xlws.FILTER(AC8:AC218,(E8:E218=E96)*(F8:F218=F96)*(G8:G218=G96)*(H8:H218=H96)*(I8:I218=I96)*(N8:N218=TRUE)*(O8:O218=TRUE))),0))</f>
        <v>0</v>
      </c>
      <c r="AD96" s="71">
        <f>SUM(_xlfn._xlws.FILTER(AD8:AD218*(AE8:AE218),(E8:E218=E96)*(F8:F218=F96)*(G8:G218=G96)*(H8:H218=H96)*(I8:I218=I96)*(N8:N218=TRUE)*(O8:O218=TRUE),0))/IF(SUM(_xlfn._xlws.FILTER(AE8:AE218,(E8:E218=E96)*(F8:F218=F96)*(G8:G218=G96)*(H8:H218=H96)*(I8:I218=I96)*(N8:N218=TRUE)*(O8:O218=TRUE),0))=0,1,SUM(_xlfn._xlws.FILTER(AE8:AE218,(E8:E218=E96)*(F8:F218=F96)*(G8:G218=G96)*(H8:H218=H96)*(I8:I218=I96)*(N8:N218=TRUE)*(O8:O218=TRUE),0)))</f>
        <v>0</v>
      </c>
      <c r="AE96" s="63">
        <v>1</v>
      </c>
      <c r="AF96" s="63" t="s">
        <v>234</v>
      </c>
      <c r="AG96" s="63" t="s">
        <v>234</v>
      </c>
      <c r="AH96" s="73"/>
      <c r="AI96" s="63">
        <f>SUM(_xlfn._xlws.FILTER(AI8:AI218,(E8:E218=E96)*(F8:F218=F96)*(G8:G218=G96)*(H8:H218=H96)*(I8:I218=I96)*(N8:N218=TRUE)*(O8:O218=TRUE),0))</f>
        <v>0</v>
      </c>
      <c r="AJ96" s="63"/>
      <c r="AK96" s="63"/>
      <c r="AL96" s="63">
        <f>SUM(_xlfn._xlws.FILTER(AL8:AL218,(E8:E218=E96)*(F8:F218=F96)*(G8:G218=G96)*(H8:H218=H96)*(I8:I218=I96)*(N8:N218=TRUE)*(O8:O218=TRUE),0))</f>
        <v>0</v>
      </c>
      <c r="AM96" s="63">
        <f>SUM(_xlfn._xlws.FILTER(AM8:AM218,(E8:E218=E96)*(F8:F218=F96)*(G8:G218=G96)*(H8:H218=H96)*(I8:I218=I96)*(N8:N218=TRUE)*(O8:O218=TRUE),0))</f>
        <v>0</v>
      </c>
      <c r="AN96" s="63"/>
      <c r="AO96" s="63"/>
      <c r="AP96" s="63" t="s">
        <v>234</v>
      </c>
      <c r="AQ96" s="63" t="s">
        <v>234</v>
      </c>
    </row>
    <row r="97" spans="2:43" ht="18" customHeight="1">
      <c r="B97" s="63"/>
      <c r="C97" s="63" t="s">
        <v>257</v>
      </c>
      <c r="D97" s="63" t="s">
        <v>257</v>
      </c>
      <c r="E97" s="63">
        <v>1</v>
      </c>
      <c r="F97" s="63">
        <v>2</v>
      </c>
      <c r="G97" s="63">
        <v>1</v>
      </c>
      <c r="H97" s="63">
        <v>2</v>
      </c>
      <c r="I97" s="63">
        <v>1</v>
      </c>
      <c r="J97" s="63">
        <v>1</v>
      </c>
      <c r="K97" s="72" t="str">
        <f t="shared" si="8"/>
        <v>001.002.001.002.001.001</v>
      </c>
      <c r="L97" s="72">
        <f t="shared" si="9"/>
        <v>1</v>
      </c>
      <c r="M97" s="72">
        <f t="shared" si="10"/>
        <v>5</v>
      </c>
      <c r="N97" s="72" t="b">
        <f t="shared" si="11"/>
        <v>1</v>
      </c>
      <c r="O97" s="72" t="b">
        <f t="shared" si="12"/>
        <v>1</v>
      </c>
      <c r="P97" s="72" t="b">
        <f t="shared" si="13"/>
        <v>1</v>
      </c>
      <c r="Q97" s="72" t="b">
        <f t="shared" si="14"/>
        <v>0</v>
      </c>
      <c r="R97" s="72" t="str">
        <f t="shared" si="15"/>
        <v>1.2.1.2.1.T1</v>
      </c>
      <c r="X97" s="60" t="s">
        <v>253</v>
      </c>
      <c r="Z97" s="63">
        <v>1</v>
      </c>
      <c r="AA97" s="63">
        <f>IF(AB97="完了",1,0)</f>
        <v>0</v>
      </c>
      <c r="AB97" s="63" t="s">
        <v>234</v>
      </c>
      <c r="AC97" s="63">
        <f>AM97/IF(AL97+AM97=0,1,AL97+AM97)</f>
        <v>0</v>
      </c>
      <c r="AD97" s="71"/>
      <c r="AE97" s="63">
        <v>1</v>
      </c>
      <c r="AF97" s="63" t="s">
        <v>234</v>
      </c>
      <c r="AG97" s="63" t="s">
        <v>234</v>
      </c>
      <c r="AH97" s="73"/>
      <c r="AI97" s="63"/>
      <c r="AJ97" s="63"/>
      <c r="AK97" s="63"/>
      <c r="AL97" s="63"/>
      <c r="AM97" s="63"/>
      <c r="AN97" s="63"/>
      <c r="AO97" s="63"/>
      <c r="AP97" s="63" t="s">
        <v>234</v>
      </c>
      <c r="AQ97" s="63" t="s">
        <v>234</v>
      </c>
    </row>
    <row r="98" spans="2:43" ht="18" customHeight="1">
      <c r="B98" s="63"/>
      <c r="C98" s="63" t="s">
        <v>257</v>
      </c>
      <c r="D98" s="63" t="s">
        <v>257</v>
      </c>
      <c r="E98" s="63">
        <v>1</v>
      </c>
      <c r="F98" s="63">
        <v>2</v>
      </c>
      <c r="G98" s="63">
        <v>1</v>
      </c>
      <c r="H98" s="63">
        <v>2</v>
      </c>
      <c r="I98" s="63">
        <v>1</v>
      </c>
      <c r="J98" s="63">
        <v>2</v>
      </c>
      <c r="K98" s="72" t="str">
        <f t="shared" si="8"/>
        <v>001.002.001.002.001.002</v>
      </c>
      <c r="L98" s="72">
        <f t="shared" si="9"/>
        <v>1</v>
      </c>
      <c r="M98" s="72">
        <f t="shared" si="10"/>
        <v>5</v>
      </c>
      <c r="N98" s="72" t="b">
        <f t="shared" si="11"/>
        <v>1</v>
      </c>
      <c r="O98" s="72" t="b">
        <f t="shared" si="12"/>
        <v>1</v>
      </c>
      <c r="P98" s="72" t="b">
        <f t="shared" si="13"/>
        <v>1</v>
      </c>
      <c r="Q98" s="72" t="b">
        <f t="shared" si="14"/>
        <v>0</v>
      </c>
      <c r="R98" s="72" t="str">
        <f t="shared" si="15"/>
        <v>1.2.1.2.1.T2</v>
      </c>
      <c r="X98" s="60" t="s">
        <v>254</v>
      </c>
      <c r="Z98" s="63">
        <v>1</v>
      </c>
      <c r="AA98" s="63">
        <f>IF(AB98="完了",1,0)</f>
        <v>0</v>
      </c>
      <c r="AB98" s="63" t="s">
        <v>234</v>
      </c>
      <c r="AC98" s="63">
        <f>AM98/IF(AL98+AM98=0,1,AL98+AM98)</f>
        <v>0</v>
      </c>
      <c r="AD98" s="71"/>
      <c r="AE98" s="63">
        <v>1</v>
      </c>
      <c r="AF98" s="63" t="s">
        <v>234</v>
      </c>
      <c r="AG98" s="63" t="s">
        <v>234</v>
      </c>
      <c r="AH98" s="73"/>
      <c r="AI98" s="63"/>
      <c r="AJ98" s="63"/>
      <c r="AK98" s="63"/>
      <c r="AL98" s="63"/>
      <c r="AM98" s="63"/>
      <c r="AN98" s="63"/>
      <c r="AO98" s="63"/>
      <c r="AP98" s="63" t="s">
        <v>234</v>
      </c>
      <c r="AQ98" s="63" t="s">
        <v>234</v>
      </c>
    </row>
    <row r="99" spans="2:43" ht="18" customHeight="1">
      <c r="B99" s="63"/>
      <c r="C99" s="63" t="s">
        <v>257</v>
      </c>
      <c r="D99" s="63" t="s">
        <v>257</v>
      </c>
      <c r="E99" s="63">
        <v>1</v>
      </c>
      <c r="F99" s="63">
        <v>2</v>
      </c>
      <c r="G99" s="63">
        <v>1</v>
      </c>
      <c r="H99" s="63">
        <v>2</v>
      </c>
      <c r="I99" s="63">
        <v>1</v>
      </c>
      <c r="J99" s="63">
        <v>3</v>
      </c>
      <c r="K99" s="72" t="str">
        <f t="shared" si="8"/>
        <v>001.002.001.002.001.003</v>
      </c>
      <c r="L99" s="72">
        <f t="shared" si="9"/>
        <v>1</v>
      </c>
      <c r="M99" s="72">
        <f t="shared" si="10"/>
        <v>5</v>
      </c>
      <c r="N99" s="72" t="b">
        <f t="shared" si="11"/>
        <v>1</v>
      </c>
      <c r="O99" s="72" t="b">
        <f t="shared" si="12"/>
        <v>1</v>
      </c>
      <c r="P99" s="72" t="b">
        <f t="shared" si="13"/>
        <v>1</v>
      </c>
      <c r="Q99" s="72" t="b">
        <f t="shared" si="14"/>
        <v>0</v>
      </c>
      <c r="R99" s="72" t="str">
        <f t="shared" si="15"/>
        <v>1.2.1.2.1.T3</v>
      </c>
      <c r="Z99" s="63">
        <v>1</v>
      </c>
      <c r="AA99" s="63">
        <f>IF(AB99="完了",1,0)</f>
        <v>0</v>
      </c>
      <c r="AB99" s="63" t="s">
        <v>234</v>
      </c>
      <c r="AC99" s="63">
        <f>AM99/IF(AL99+AM99=0,1,AL99+AM99)</f>
        <v>0</v>
      </c>
      <c r="AD99" s="71"/>
      <c r="AE99" s="63">
        <v>1</v>
      </c>
      <c r="AF99" s="63" t="s">
        <v>234</v>
      </c>
      <c r="AG99" s="63" t="s">
        <v>234</v>
      </c>
      <c r="AH99" s="73"/>
      <c r="AI99" s="63"/>
      <c r="AJ99" s="63"/>
      <c r="AK99" s="63"/>
      <c r="AL99" s="63"/>
      <c r="AM99" s="63"/>
      <c r="AN99" s="63"/>
      <c r="AO99" s="63"/>
      <c r="AP99" s="63" t="s">
        <v>234</v>
      </c>
      <c r="AQ99" s="63" t="s">
        <v>234</v>
      </c>
    </row>
    <row r="100" spans="2:43" ht="18" customHeight="1">
      <c r="B100" s="63"/>
      <c r="C100" s="63" t="s">
        <v>257</v>
      </c>
      <c r="D100" s="63" t="s">
        <v>257</v>
      </c>
      <c r="E100" s="63">
        <v>1</v>
      </c>
      <c r="F100" s="63">
        <v>2</v>
      </c>
      <c r="G100" s="63">
        <v>1</v>
      </c>
      <c r="H100" s="63">
        <v>2</v>
      </c>
      <c r="I100" s="63">
        <v>2</v>
      </c>
      <c r="J100" s="63"/>
      <c r="K100" s="72" t="str">
        <f t="shared" si="8"/>
        <v>001.002.001.002.002.---</v>
      </c>
      <c r="L100" s="72">
        <f t="shared" si="9"/>
        <v>1</v>
      </c>
      <c r="M100" s="72">
        <f t="shared" si="10"/>
        <v>5</v>
      </c>
      <c r="N100" s="72" t="b">
        <f t="shared" si="11"/>
        <v>0</v>
      </c>
      <c r="O100" s="72" t="b">
        <f t="shared" si="12"/>
        <v>1</v>
      </c>
      <c r="P100" s="72" t="b">
        <f t="shared" si="13"/>
        <v>1</v>
      </c>
      <c r="Q100" s="72" t="b">
        <f t="shared" si="14"/>
        <v>1</v>
      </c>
      <c r="R100" s="72" t="str">
        <f t="shared" si="15"/>
        <v>1.2.1.2.2</v>
      </c>
      <c r="Z100" s="63">
        <f>SUM(_xlfn._xlws.FILTER(Z8:Z218,(E8:E218=E100)*(F8:F218=F100)*(G8:G218=G100)*(H8:H218=H100)*(I8:I218=I100)*(N8:N218=TRUE)*(O8:O218=TRUE),0))</f>
        <v>3</v>
      </c>
      <c r="AA100" s="63">
        <f>SUM(_xlfn._xlws.FILTER(AA8:AA218,(E8:E218=E100)*(F8:F218=F100)*(G8:G218=G100)*(H8:H218=H100)*(I8:I218=I100)*(N8:N218=TRUE)*(O8:O218=TRUE),0))</f>
        <v>0</v>
      </c>
      <c r="AB100" s="63" t="s">
        <v>234</v>
      </c>
      <c r="AC100" s="63">
        <f>SUM(_xlfn._xlws.FILTER(AC8:AC218,(E8:E218=E100)*(F8:F218=F100)*(G8:G218=G100)*(H8:H218=H100)*(I8:I218=I100)*(N8:N218=TRUE)*(O8:O218=TRUE),0))/IF(IFERROR(COUNT(_xlfn._xlws.FILTER(AC8:AC218,(E8:E218=E100)*(F8:F218=F100)*(G8:G218=G100)*(H8:H218=H100)*(I8:I218=I100)*(N8:N218=TRUE)*(O8:O218=TRUE))),0)=0,1,IFERROR(COUNT(_xlfn._xlws.FILTER(AC8:AC218,(E8:E218=E100)*(F8:F218=F100)*(G8:G218=G100)*(H8:H218=H100)*(I8:I218=I100)*(N8:N218=TRUE)*(O8:O218=TRUE))),0))</f>
        <v>0</v>
      </c>
      <c r="AD100" s="71">
        <f>SUM(_xlfn._xlws.FILTER(AD8:AD218*(AE8:AE218),(E8:E218=E100)*(F8:F218=F100)*(G8:G218=G100)*(H8:H218=H100)*(I8:I218=I100)*(N8:N218=TRUE)*(O8:O218=TRUE),0))/IF(SUM(_xlfn._xlws.FILTER(AE8:AE218,(E8:E218=E100)*(F8:F218=F100)*(G8:G218=G100)*(H8:H218=H100)*(I8:I218=I100)*(N8:N218=TRUE)*(O8:O218=TRUE),0))=0,1,SUM(_xlfn._xlws.FILTER(AE8:AE218,(E8:E218=E100)*(F8:F218=F100)*(G8:G218=G100)*(H8:H218=H100)*(I8:I218=I100)*(N8:N218=TRUE)*(O8:O218=TRUE),0)))</f>
        <v>0</v>
      </c>
      <c r="AE100" s="63">
        <v>1</v>
      </c>
      <c r="AF100" s="63" t="s">
        <v>234</v>
      </c>
      <c r="AG100" s="63" t="s">
        <v>234</v>
      </c>
      <c r="AH100" s="73"/>
      <c r="AI100" s="63">
        <f>SUM(_xlfn._xlws.FILTER(AI8:AI218,(E8:E218=E100)*(F8:F218=F100)*(G8:G218=G100)*(H8:H218=H100)*(I8:I218=I100)*(N8:N218=TRUE)*(O8:O218=TRUE),0))</f>
        <v>0</v>
      </c>
      <c r="AJ100" s="63"/>
      <c r="AK100" s="63"/>
      <c r="AL100" s="63">
        <f>SUM(_xlfn._xlws.FILTER(AL8:AL218,(E8:E218=E100)*(F8:F218=F100)*(G8:G218=G100)*(H8:H218=H100)*(I8:I218=I100)*(N8:N218=TRUE)*(O8:O218=TRUE),0))</f>
        <v>0</v>
      </c>
      <c r="AM100" s="63">
        <f>SUM(_xlfn._xlws.FILTER(AM8:AM218,(E8:E218=E100)*(F8:F218=F100)*(G8:G218=G100)*(H8:H218=H100)*(I8:I218=I100)*(N8:N218=TRUE)*(O8:O218=TRUE),0))</f>
        <v>0</v>
      </c>
      <c r="AN100" s="63"/>
      <c r="AO100" s="63"/>
      <c r="AP100" s="63" t="s">
        <v>234</v>
      </c>
      <c r="AQ100" s="63" t="s">
        <v>234</v>
      </c>
    </row>
    <row r="101" spans="2:43" ht="18" customHeight="1">
      <c r="B101" s="63"/>
      <c r="C101" s="63" t="s">
        <v>257</v>
      </c>
      <c r="D101" s="63" t="s">
        <v>257</v>
      </c>
      <c r="E101" s="63">
        <v>1</v>
      </c>
      <c r="F101" s="63">
        <v>2</v>
      </c>
      <c r="G101" s="63">
        <v>1</v>
      </c>
      <c r="H101" s="63">
        <v>2</v>
      </c>
      <c r="I101" s="63">
        <v>2</v>
      </c>
      <c r="J101" s="63">
        <v>1</v>
      </c>
      <c r="K101" s="72" t="str">
        <f t="shared" si="8"/>
        <v>001.002.001.002.002.001</v>
      </c>
      <c r="L101" s="72">
        <f t="shared" si="9"/>
        <v>1</v>
      </c>
      <c r="M101" s="72">
        <f t="shared" si="10"/>
        <v>5</v>
      </c>
      <c r="N101" s="72" t="b">
        <f t="shared" si="11"/>
        <v>1</v>
      </c>
      <c r="O101" s="72" t="b">
        <f t="shared" si="12"/>
        <v>1</v>
      </c>
      <c r="P101" s="72" t="b">
        <f t="shared" si="13"/>
        <v>1</v>
      </c>
      <c r="Q101" s="72" t="b">
        <f t="shared" si="14"/>
        <v>0</v>
      </c>
      <c r="R101" s="72" t="str">
        <f t="shared" si="15"/>
        <v>1.2.1.2.2.T1</v>
      </c>
      <c r="X101" s="60" t="s">
        <v>253</v>
      </c>
      <c r="Z101" s="63">
        <v>1</v>
      </c>
      <c r="AA101" s="63">
        <f>IF(AB101="完了",1,0)</f>
        <v>0</v>
      </c>
      <c r="AB101" s="63" t="s">
        <v>234</v>
      </c>
      <c r="AC101" s="63">
        <f>AM101/IF(AL101+AM101=0,1,AL101+AM101)</f>
        <v>0</v>
      </c>
      <c r="AD101" s="71"/>
      <c r="AE101" s="63">
        <v>1</v>
      </c>
      <c r="AF101" s="63" t="s">
        <v>234</v>
      </c>
      <c r="AG101" s="63" t="s">
        <v>234</v>
      </c>
      <c r="AH101" s="73"/>
      <c r="AI101" s="63"/>
      <c r="AJ101" s="63"/>
      <c r="AK101" s="63"/>
      <c r="AL101" s="63"/>
      <c r="AM101" s="63"/>
      <c r="AN101" s="63"/>
      <c r="AO101" s="63"/>
      <c r="AP101" s="63" t="s">
        <v>234</v>
      </c>
      <c r="AQ101" s="63" t="s">
        <v>234</v>
      </c>
    </row>
    <row r="102" spans="2:43" ht="18" customHeight="1">
      <c r="B102" s="63"/>
      <c r="C102" s="63" t="s">
        <v>257</v>
      </c>
      <c r="D102" s="63" t="s">
        <v>257</v>
      </c>
      <c r="E102" s="63">
        <v>1</v>
      </c>
      <c r="F102" s="63">
        <v>2</v>
      </c>
      <c r="G102" s="63">
        <v>1</v>
      </c>
      <c r="H102" s="63">
        <v>2</v>
      </c>
      <c r="I102" s="63">
        <v>2</v>
      </c>
      <c r="J102" s="63">
        <v>2</v>
      </c>
      <c r="K102" s="72" t="str">
        <f t="shared" si="8"/>
        <v>001.002.001.002.002.002</v>
      </c>
      <c r="L102" s="72">
        <f t="shared" si="9"/>
        <v>1</v>
      </c>
      <c r="M102" s="72">
        <f t="shared" si="10"/>
        <v>5</v>
      </c>
      <c r="N102" s="72" t="b">
        <f t="shared" si="11"/>
        <v>1</v>
      </c>
      <c r="O102" s="72" t="b">
        <f t="shared" si="12"/>
        <v>1</v>
      </c>
      <c r="P102" s="72" t="b">
        <f t="shared" si="13"/>
        <v>1</v>
      </c>
      <c r="Q102" s="72" t="b">
        <f t="shared" si="14"/>
        <v>0</v>
      </c>
      <c r="R102" s="72" t="str">
        <f t="shared" si="15"/>
        <v>1.2.1.2.2.T2</v>
      </c>
      <c r="X102" s="60" t="s">
        <v>254</v>
      </c>
      <c r="Z102" s="63">
        <v>1</v>
      </c>
      <c r="AA102" s="63">
        <f>IF(AB102="完了",1,0)</f>
        <v>0</v>
      </c>
      <c r="AB102" s="63" t="s">
        <v>234</v>
      </c>
      <c r="AC102" s="63">
        <f>AM102/IF(AL102+AM102=0,1,AL102+AM102)</f>
        <v>0</v>
      </c>
      <c r="AD102" s="71"/>
      <c r="AE102" s="63">
        <v>1</v>
      </c>
      <c r="AF102" s="63" t="s">
        <v>234</v>
      </c>
      <c r="AG102" s="63" t="s">
        <v>234</v>
      </c>
      <c r="AH102" s="73"/>
      <c r="AI102" s="63"/>
      <c r="AJ102" s="63"/>
      <c r="AK102" s="63"/>
      <c r="AL102" s="63"/>
      <c r="AM102" s="63"/>
      <c r="AN102" s="63"/>
      <c r="AO102" s="63"/>
      <c r="AP102" s="63" t="s">
        <v>234</v>
      </c>
      <c r="AQ102" s="63" t="s">
        <v>234</v>
      </c>
    </row>
    <row r="103" spans="2:43" ht="18" customHeight="1">
      <c r="B103" s="63"/>
      <c r="C103" s="63" t="s">
        <v>257</v>
      </c>
      <c r="D103" s="63" t="s">
        <v>257</v>
      </c>
      <c r="E103" s="63">
        <v>1</v>
      </c>
      <c r="F103" s="63">
        <v>2</v>
      </c>
      <c r="G103" s="63">
        <v>1</v>
      </c>
      <c r="H103" s="63">
        <v>2</v>
      </c>
      <c r="I103" s="63">
        <v>2</v>
      </c>
      <c r="J103" s="63">
        <v>3</v>
      </c>
      <c r="K103" s="72" t="str">
        <f t="shared" si="8"/>
        <v>001.002.001.002.002.003</v>
      </c>
      <c r="L103" s="72">
        <f t="shared" si="9"/>
        <v>1</v>
      </c>
      <c r="M103" s="72">
        <f t="shared" si="10"/>
        <v>5</v>
      </c>
      <c r="N103" s="72" t="b">
        <f t="shared" si="11"/>
        <v>1</v>
      </c>
      <c r="O103" s="72" t="b">
        <f t="shared" si="12"/>
        <v>1</v>
      </c>
      <c r="P103" s="72" t="b">
        <f t="shared" si="13"/>
        <v>1</v>
      </c>
      <c r="Q103" s="72" t="b">
        <f t="shared" si="14"/>
        <v>0</v>
      </c>
      <c r="R103" s="72" t="str">
        <f t="shared" si="15"/>
        <v>1.2.1.2.2.T3</v>
      </c>
      <c r="Z103" s="63">
        <v>1</v>
      </c>
      <c r="AA103" s="63">
        <f>IF(AB103="完了",1,0)</f>
        <v>0</v>
      </c>
      <c r="AB103" s="63" t="s">
        <v>234</v>
      </c>
      <c r="AC103" s="63">
        <f>AM103/IF(AL103+AM103=0,1,AL103+AM103)</f>
        <v>0</v>
      </c>
      <c r="AD103" s="71"/>
      <c r="AE103" s="63">
        <v>1</v>
      </c>
      <c r="AF103" s="63" t="s">
        <v>234</v>
      </c>
      <c r="AG103" s="63" t="s">
        <v>234</v>
      </c>
      <c r="AH103" s="73"/>
      <c r="AI103" s="63"/>
      <c r="AJ103" s="63"/>
      <c r="AK103" s="63"/>
      <c r="AL103" s="63"/>
      <c r="AM103" s="63"/>
      <c r="AN103" s="63"/>
      <c r="AO103" s="63"/>
      <c r="AP103" s="63" t="s">
        <v>234</v>
      </c>
      <c r="AQ103" s="63" t="s">
        <v>234</v>
      </c>
    </row>
    <row r="104" spans="2:43" ht="18" customHeight="1">
      <c r="B104" s="63"/>
      <c r="C104" s="63" t="s">
        <v>257</v>
      </c>
      <c r="D104" s="63" t="s">
        <v>257</v>
      </c>
      <c r="E104" s="63">
        <v>1</v>
      </c>
      <c r="F104" s="63">
        <v>2</v>
      </c>
      <c r="G104" s="63">
        <v>2</v>
      </c>
      <c r="H104" s="63"/>
      <c r="I104" s="63"/>
      <c r="J104" s="63"/>
      <c r="K104" s="72" t="str">
        <f t="shared" si="8"/>
        <v>001.002.002.---.---.---</v>
      </c>
      <c r="L104" s="72">
        <f t="shared" si="9"/>
        <v>1</v>
      </c>
      <c r="M104" s="72">
        <f t="shared" si="10"/>
        <v>3</v>
      </c>
      <c r="N104" s="72" t="b">
        <f t="shared" si="11"/>
        <v>0</v>
      </c>
      <c r="O104" s="72" t="b">
        <f t="shared" si="12"/>
        <v>1</v>
      </c>
      <c r="P104" s="72" t="b">
        <f t="shared" si="13"/>
        <v>1</v>
      </c>
      <c r="Q104" s="72" t="b">
        <f t="shared" si="14"/>
        <v>1</v>
      </c>
      <c r="R104" s="72" t="str">
        <f t="shared" si="15"/>
        <v>1.2.2</v>
      </c>
      <c r="Z104" s="63">
        <f>SUM(_xlfn._xlws.FILTER(Z8:Z218,(E8:E218=E104)*(F8:F218=F104)*(G8:G218=G104)*(ISNUMBER(H8:H218))*(I8:I218="")*(N8:N218=FALSE)*(O8:O218=TRUE),0))+SUM(_xlfn._xlws.FILTER(Z8:Z218,(E8:E218=E104)*(F8:F218=F104)*(G8:G218=G104)*(H8:H218="")*(I8:I218="")*(N8:N218=TRUE)*(O8:O218=TRUE),0))</f>
        <v>20</v>
      </c>
      <c r="AA104" s="63">
        <f>SUM(_xlfn._xlws.FILTER(AA8:AA218,(E8:E218=E104)*(F8:F218=F104)*(G8:G218=G104)*(ISNUMBER(H8:H218))*(I8:I218="")*(N8:N218=FALSE)*(O8:O218=TRUE),0))+SUM(_xlfn._xlws.FILTER(AA8:AA218,(E8:E218=E104)*(F8:F218=F104)*(G8:G218=G104)*(H8:H218="")*(I8:I218="")*(N8:N218=TRUE)*(O8:O218=TRUE),0))</f>
        <v>2</v>
      </c>
      <c r="AB104" s="63" t="s">
        <v>234</v>
      </c>
      <c r="AC104" s="63">
        <f>(SUM(_xlfn._xlws.FILTER(AC8:AC218,(E8:E218=E104)*(F8:F218=F104)*(G8:G218=G104)*(ISNUMBER(H8:H218))*(I8:I218="")*(N8:N218=FALSE)*(O8:O218=TRUE),0))+SUM(_xlfn._xlws.FILTER(AC8:AC218,(E8:E218=E104)*(F8:F218=F104)*(G8:G218=G104)*(H8:H218="")*(I8:I218="")*(N8:N218=TRUE)*(O8:O218=TRUE),0)))/IF(IFERROR(COUNT(_xlfn._xlws.FILTER(AC8:AC218,(E8:E218=E104)*(F8:F218=F104)*(G8:G218=G104)*(ISNUMBER(H8:H218))*(I8:I218="")*(N8:N218=FALSE)*(O8:O218=TRUE))),0)+IFERROR(COUNT(_xlfn._xlws.FILTER(AC8:AC218,(E8:E218=E104)*(F8:F218=F104)*(G8:G218=G104)*(H8:H218="")*(I8:I218="")*(N8:N218=TRUE)*(O8:O218=TRUE))),0)=0,1,IFERROR(COUNT(_xlfn._xlws.FILTER(AC8:AC218,(E8:E218=E104)*(F8:F218=F104)*(G8:G218=G104)*(ISNUMBER(H8:H218))*(I8:I218="")*(N8:N218=FALSE)*(O8:O218=TRUE))),0)+IFERROR(COUNT(_xlfn._xlws.FILTER(AC8:AC218,(E8:E218=E104)*(F8:F218=F104)*(G8:G218=G104)*(H8:H218="")*(I8:I218="")*(N8:N218=TRUE)*(O8:O218=TRUE))),0))</f>
        <v>0</v>
      </c>
      <c r="AD104" s="71">
        <f>(SUM(_xlfn._xlws.FILTER(AD8:AD218*(AE8:AE218),(E8:E218=E104)*(F8:F218=F104)*(G8:G218=G104)*(ISNUMBER(H8:H218))*(I8:I218="")*(N8:N218=FALSE)*(O8:O218=TRUE),0))+SUM(_xlfn._xlws.FILTER(AD8:AD218*(AE8:AE218),(E8:E218=E104)*(F8:F218=F104)*(G8:G218=G104)*(H8:H218="")*(I8:I218="")*(N8:N218=TRUE)*(O8:O218=TRUE),0)))/IF(SUM(_xlfn._xlws.FILTER(AE8:AE218,(E8:E218=E104)*(F8:F218=F104)*(G8:G218=G104)*(ISNUMBER(H8:H218))*(I8:I218="")*(N8:N218=FALSE)*(O8:O218=TRUE),0))+SUM(_xlfn._xlws.FILTER(AE8:AE218,(E8:E218=E104)*(F8:F218=F104)*(G8:G218=G104)*(H8:H218="")*(I8:I218="")*(N8:N218=TRUE)*(O8:O218=TRUE),0))=0,1,SUM(_xlfn._xlws.FILTER(AE8:AE218,(E8:E218=E104)*(F8:F218=F104)*(G8:G218=G104)*(ISNUMBER(H8:H218))*(I8:I218="")*(N8:N218=FALSE)*(O8:O218=TRUE),0))+SUM(_xlfn._xlws.FILTER(AE8:AE218,(E8:E218=E104)*(F8:F218=F104)*(G8:G218=G104)*(H8:H218="")*(I8:I218="")*(N8:N218=TRUE)*(O8:O218=TRUE),0)))</f>
        <v>0</v>
      </c>
      <c r="AE104" s="63">
        <v>1</v>
      </c>
      <c r="AF104" s="63" t="s">
        <v>234</v>
      </c>
      <c r="AG104" s="63" t="s">
        <v>234</v>
      </c>
      <c r="AH104" s="73"/>
      <c r="AI104" s="63">
        <f>SUM(_xlfn._xlws.FILTER(AI8:AI218,(E8:E218=E104)*(F8:F218=F104)*(G8:G218=G104)*(ISNUMBER(H8:H218))*(I8:I218="")*(N8:N218=FALSE)*(O8:O218=TRUE),0))+SUM(_xlfn._xlws.FILTER(AI8:AI218,(E8:E218=E104)*(F8:F218=F104)*(G8:G218=G104)*(H8:H218="")*(I8:I218="")*(N8:N218=TRUE)*(O8:O218=TRUE),0))</f>
        <v>0</v>
      </c>
      <c r="AJ104" s="63"/>
      <c r="AK104" s="63"/>
      <c r="AL104" s="63">
        <f>SUM(_xlfn._xlws.FILTER(AL8:AL218,(E8:E218=E104)*(F8:F218=F104)*(G8:G218=G104)*(ISNUMBER(H8:H218))*(I8:I218="")*(N8:N218=FALSE)*(O8:O218=TRUE),0))+SUM(_xlfn._xlws.FILTER(AL8:AL218,(E8:E218=E104)*(F8:F218=F104)*(G8:G218=G104)*(H8:H218="")*(I8:I218="")*(N8:N218=TRUE)*(O8:O218=TRUE),0))</f>
        <v>0</v>
      </c>
      <c r="AM104" s="63">
        <f>SUM(_xlfn._xlws.FILTER(AM8:AM218,(E8:E218=E104)*(F8:F218=F104)*(G8:G218=G104)*(ISNUMBER(H8:H218))*(I8:I218="")*(N8:N218=FALSE)*(O8:O218=TRUE),0))+SUM(_xlfn._xlws.FILTER(AM8:AM218,(E8:E218=E104)*(F8:F218=F104)*(G8:G218=G104)*(H8:H218="")*(I8:I218="")*(N8:N218=TRUE)*(O8:O218=TRUE),0))</f>
        <v>0</v>
      </c>
      <c r="AN104" s="63"/>
      <c r="AO104" s="63"/>
      <c r="AP104" s="63" t="s">
        <v>234</v>
      </c>
      <c r="AQ104" s="63" t="s">
        <v>234</v>
      </c>
    </row>
    <row r="105" spans="2:43" ht="18" customHeight="1">
      <c r="B105" s="63"/>
      <c r="C105" s="63" t="s">
        <v>257</v>
      </c>
      <c r="D105" s="63" t="s">
        <v>257</v>
      </c>
      <c r="E105" s="63">
        <v>1</v>
      </c>
      <c r="F105" s="63">
        <v>2</v>
      </c>
      <c r="G105" s="63">
        <v>2</v>
      </c>
      <c r="H105" s="63"/>
      <c r="I105" s="63"/>
      <c r="J105" s="63">
        <v>1</v>
      </c>
      <c r="K105" s="72" t="str">
        <f t="shared" si="8"/>
        <v>001.002.002.---.---.001</v>
      </c>
      <c r="L105" s="72">
        <f t="shared" si="9"/>
        <v>1</v>
      </c>
      <c r="M105" s="72">
        <f t="shared" si="10"/>
        <v>3</v>
      </c>
      <c r="N105" s="72" t="b">
        <f t="shared" si="11"/>
        <v>1</v>
      </c>
      <c r="O105" s="72" t="b">
        <f t="shared" si="12"/>
        <v>0</v>
      </c>
      <c r="P105" s="72" t="b">
        <f t="shared" si="13"/>
        <v>1</v>
      </c>
      <c r="Q105" s="72" t="b">
        <f t="shared" si="14"/>
        <v>0</v>
      </c>
      <c r="R105" s="72" t="str">
        <f t="shared" si="15"/>
        <v>1.2.2.T1</v>
      </c>
      <c r="X105" s="60" t="s">
        <v>242</v>
      </c>
      <c r="Z105" s="63">
        <v>1</v>
      </c>
      <c r="AA105" s="63">
        <f>IF(AB105="完了",1,0)</f>
        <v>0</v>
      </c>
      <c r="AB105" s="63" t="s">
        <v>243</v>
      </c>
      <c r="AC105" s="63">
        <f>AM105/IF(AL105+AM105=0,1,AL105+AM105)</f>
        <v>0</v>
      </c>
      <c r="AD105" s="71"/>
      <c r="AE105" s="63">
        <v>1</v>
      </c>
      <c r="AF105" s="63" t="s">
        <v>234</v>
      </c>
      <c r="AG105" s="63" t="s">
        <v>234</v>
      </c>
      <c r="AH105" s="73"/>
      <c r="AI105" s="63"/>
      <c r="AJ105" s="63"/>
      <c r="AK105" s="63"/>
      <c r="AL105" s="63"/>
      <c r="AM105" s="63"/>
      <c r="AN105" s="63"/>
      <c r="AO105" s="63"/>
      <c r="AP105" s="63" t="s">
        <v>234</v>
      </c>
      <c r="AQ105" s="63" t="s">
        <v>234</v>
      </c>
    </row>
    <row r="106" spans="2:43" ht="18" customHeight="1">
      <c r="B106" s="63"/>
      <c r="C106" s="63" t="s">
        <v>257</v>
      </c>
      <c r="D106" s="63" t="s">
        <v>257</v>
      </c>
      <c r="E106" s="63">
        <v>1</v>
      </c>
      <c r="F106" s="63">
        <v>2</v>
      </c>
      <c r="G106" s="63">
        <v>2</v>
      </c>
      <c r="H106" s="63"/>
      <c r="I106" s="63"/>
      <c r="J106" s="63">
        <v>2</v>
      </c>
      <c r="K106" s="72" t="str">
        <f t="shared" si="8"/>
        <v>001.002.002.---.---.002</v>
      </c>
      <c r="L106" s="72">
        <f t="shared" si="9"/>
        <v>1</v>
      </c>
      <c r="M106" s="72">
        <f t="shared" si="10"/>
        <v>3</v>
      </c>
      <c r="N106" s="72" t="b">
        <f t="shared" si="11"/>
        <v>1</v>
      </c>
      <c r="O106" s="72" t="b">
        <f t="shared" si="12"/>
        <v>1</v>
      </c>
      <c r="P106" s="72" t="b">
        <f t="shared" si="13"/>
        <v>1</v>
      </c>
      <c r="Q106" s="72" t="b">
        <f t="shared" si="14"/>
        <v>0</v>
      </c>
      <c r="R106" s="72" t="str">
        <f t="shared" si="15"/>
        <v>1.2.2.T2</v>
      </c>
      <c r="X106" s="60" t="s">
        <v>244</v>
      </c>
      <c r="Z106" s="63">
        <v>1</v>
      </c>
      <c r="AA106" s="63">
        <f>IF(AB106="完了",1,0)</f>
        <v>0</v>
      </c>
      <c r="AB106" s="63" t="s">
        <v>245</v>
      </c>
      <c r="AC106" s="63">
        <f>AM106/IF(AL106+AM106=0,1,AL106+AM106)</f>
        <v>0</v>
      </c>
      <c r="AD106" s="71"/>
      <c r="AE106" s="63">
        <v>1</v>
      </c>
      <c r="AF106" s="63" t="s">
        <v>234</v>
      </c>
      <c r="AG106" s="63" t="s">
        <v>234</v>
      </c>
      <c r="AH106" s="73"/>
      <c r="AI106" s="63"/>
      <c r="AJ106" s="63"/>
      <c r="AK106" s="63"/>
      <c r="AL106" s="63"/>
      <c r="AM106" s="63"/>
      <c r="AN106" s="63"/>
      <c r="AO106" s="63"/>
      <c r="AP106" s="63" t="s">
        <v>234</v>
      </c>
      <c r="AQ106" s="63" t="s">
        <v>234</v>
      </c>
    </row>
    <row r="107" spans="2:43" ht="18" customHeight="1">
      <c r="B107" s="63"/>
      <c r="C107" s="63" t="s">
        <v>257</v>
      </c>
      <c r="D107" s="63" t="s">
        <v>257</v>
      </c>
      <c r="E107" s="63">
        <v>1</v>
      </c>
      <c r="F107" s="63">
        <v>2</v>
      </c>
      <c r="G107" s="63">
        <v>2</v>
      </c>
      <c r="H107" s="63"/>
      <c r="I107" s="63"/>
      <c r="J107" s="63">
        <v>3</v>
      </c>
      <c r="K107" s="72" t="str">
        <f t="shared" si="8"/>
        <v>001.002.002.---.---.003</v>
      </c>
      <c r="L107" s="72">
        <f t="shared" si="9"/>
        <v>1</v>
      </c>
      <c r="M107" s="72">
        <f t="shared" si="10"/>
        <v>3</v>
      </c>
      <c r="N107" s="72" t="b">
        <f t="shared" si="11"/>
        <v>1</v>
      </c>
      <c r="O107" s="72" t="b">
        <f t="shared" si="12"/>
        <v>1</v>
      </c>
      <c r="P107" s="72" t="b">
        <f t="shared" si="13"/>
        <v>1</v>
      </c>
      <c r="Q107" s="72" t="b">
        <f t="shared" si="14"/>
        <v>0</v>
      </c>
      <c r="R107" s="72" t="str">
        <f t="shared" si="15"/>
        <v>1.2.2.T3</v>
      </c>
      <c r="X107" s="60" t="s">
        <v>246</v>
      </c>
      <c r="Z107" s="63">
        <v>1</v>
      </c>
      <c r="AA107" s="63">
        <f>IF(AB107="完了",1,0)</f>
        <v>0</v>
      </c>
      <c r="AB107" s="63" t="s">
        <v>234</v>
      </c>
      <c r="AC107" s="63">
        <f>AM107/IF(AL107+AM107=0,1,AL107+AM107)</f>
        <v>0</v>
      </c>
      <c r="AD107" s="71"/>
      <c r="AE107" s="63">
        <v>1</v>
      </c>
      <c r="AF107" s="63" t="s">
        <v>234</v>
      </c>
      <c r="AG107" s="63" t="s">
        <v>234</v>
      </c>
      <c r="AH107" s="73"/>
      <c r="AI107" s="63"/>
      <c r="AJ107" s="63"/>
      <c r="AK107" s="63"/>
      <c r="AL107" s="63"/>
      <c r="AM107" s="63"/>
      <c r="AN107" s="63"/>
      <c r="AO107" s="63"/>
      <c r="AP107" s="63" t="s">
        <v>234</v>
      </c>
      <c r="AQ107" s="63" t="s">
        <v>234</v>
      </c>
    </row>
    <row r="108" spans="2:43" ht="18" customHeight="1">
      <c r="B108" s="63"/>
      <c r="C108" s="63" t="s">
        <v>257</v>
      </c>
      <c r="D108" s="63" t="s">
        <v>257</v>
      </c>
      <c r="E108" s="63">
        <v>1</v>
      </c>
      <c r="F108" s="63">
        <v>2</v>
      </c>
      <c r="G108" s="63">
        <v>2</v>
      </c>
      <c r="H108" s="63">
        <v>1</v>
      </c>
      <c r="I108" s="63"/>
      <c r="J108" s="63"/>
      <c r="K108" s="72" t="str">
        <f t="shared" si="8"/>
        <v>001.002.002.001.---.---</v>
      </c>
      <c r="L108" s="72">
        <f t="shared" si="9"/>
        <v>1</v>
      </c>
      <c r="M108" s="72">
        <f t="shared" si="10"/>
        <v>4</v>
      </c>
      <c r="N108" s="72" t="b">
        <f t="shared" si="11"/>
        <v>0</v>
      </c>
      <c r="O108" s="72" t="b">
        <f t="shared" si="12"/>
        <v>1</v>
      </c>
      <c r="P108" s="72" t="b">
        <f t="shared" si="13"/>
        <v>1</v>
      </c>
      <c r="Q108" s="72" t="b">
        <f t="shared" si="14"/>
        <v>1</v>
      </c>
      <c r="R108" s="72" t="str">
        <f t="shared" si="15"/>
        <v>1.2.2.1</v>
      </c>
      <c r="V108" s="60" t="s">
        <v>247</v>
      </c>
      <c r="Z108" s="63">
        <f>SUM(_xlfn._xlws.FILTER(Z8:Z218,(E8:E218=E108)*(F8:F218=F108)*(G8:G218=G108)*(H8:H218=H108)*(ISNUMBER(I8:I218))*(N8:N218=FALSE)*(O8:O218=TRUE),0))+SUM(_xlfn._xlws.FILTER(Z8:Z218,(E8:E218=E108)*(F8:F218=F108)*(G8:G218=G108)*(H8:H218=H108)*(I8:I218="")*(N8:N218=TRUE)*(O8:O218=TRUE),0))</f>
        <v>9</v>
      </c>
      <c r="AA108" s="63">
        <f>SUM(_xlfn._xlws.FILTER(AA8:AA218,(E8:E218=E108)*(F8:F218=F108)*(G8:G218=G108)*(H8:H218=H108)*(ISNUMBER(I8:I218))*(N8:N218=FALSE)*(O8:O218=TRUE),0))+SUM(_xlfn._xlws.FILTER(AA8:AA218,(E8:E218=E108)*(F8:F218=F108)*(G8:G218=G108)*(H8:H218=H108)*(I8:I218="")*(N8:N218=TRUE)*(O8:O218=TRUE),0))</f>
        <v>1</v>
      </c>
      <c r="AB108" s="63" t="s">
        <v>234</v>
      </c>
      <c r="AC108" s="63">
        <f>(SUM(_xlfn._xlws.FILTER(AC8:AC218,(E8:E218=E108)*(F8:F218=F108)*(G8:G218=G108)*(H8:H218=H108)*(ISNUMBER(I8:I218))*(N8:N218=FALSE)*(O8:O218=TRUE),0))+SUM(_xlfn._xlws.FILTER(AC8:AC218,(E8:E218=E108)*(F8:F218=F108)*(G8:G218=G108)*(H8:H218=H108)*(I8:I218="")*(N8:N218=TRUE)*(O8:O218=TRUE),0)))/IF(IFERROR(COUNT(_xlfn._xlws.FILTER(AC8:AC218,(E8:E218=E108)*(F8:F218=F108)*(G8:G218=G108)*(H8:H218=H108)*(ISNUMBER(I8:I218))*(N8:N218=FALSE)*(O8:O218=TRUE))),0)+IFERROR(COUNT(_xlfn._xlws.FILTER(AC8:AC218,(E8:E218=E108)*(F8:F218=F108)*(G8:G218=G108)*(H8:H218=H108)*(I8:I218="")*(N8:N218=TRUE)*(O8:O218=TRUE))),0)=0,1,IFERROR(COUNT(_xlfn._xlws.FILTER(AC8:AC218,(E8:E218=E108)*(F8:F218=F108)*(G8:G218=G108)*(H8:H218=H108)*(ISNUMBER(I8:I218))*(N8:N218=FALSE)*(O8:O218=TRUE))),0)+IFERROR(COUNT(_xlfn._xlws.FILTER(AC8:AC218,(E8:E218=E108)*(F8:F218=F108)*(G8:G218=G108)*(H8:H218=H108)*(I8:I218="")*(N8:N218=TRUE)*(O8:O218=TRUE))),0))</f>
        <v>0</v>
      </c>
      <c r="AD108" s="71">
        <f>(SUM(_xlfn._xlws.FILTER(AD8:AD218*(AE8:AE218),(E8:E218=E108)*(F8:F218=F108)*(G8:G218=G108)*(H8:H218=H108)*(ISNUMBER(I8:I218))*(N8:N218=FALSE)*(O8:O218=TRUE),0))+SUM(_xlfn._xlws.FILTER(AD8:AD218*(AE8:AE218),(E8:E218=E108)*(F8:F218=F108)*(G8:G218=G108)*(H8:H218=H108)*(I8:I218="")*(N8:N218=TRUE)*(O8:O218=TRUE),0)))/IF(SUM(_xlfn._xlws.FILTER(AE8:AE218,(E8:E218=E108)*(F8:F218=F108)*(G8:G218=G108)*(H8:H218=H108)*(ISNUMBER(I8:I218))*(N8:N218=FALSE)*(O8:O218=TRUE),0))+SUM(_xlfn._xlws.FILTER(AE8:AE218,(E8:E218=E108)*(F8:F218=F108)*(G8:G218=G108)*(H8:H218=H108)*(I8:I218="")*(N8:N218=TRUE)*(O8:O218=TRUE),0))=0,1,SUM(_xlfn._xlws.FILTER(AE8:AE218,(E8:E218=E108)*(F8:F218=F108)*(G8:G218=G108)*(H8:H218=H108)*(ISNUMBER(I8:I218))*(N8:N218=FALSE)*(O8:O218=TRUE),0))+SUM(_xlfn._xlws.FILTER(AE8:AE218,(E8:E218=E108)*(F8:F218=F108)*(G8:G218=G108)*(H8:H218=H108)*(I8:I218="")*(N8:N218=TRUE)*(O8:O218=TRUE),0)))</f>
        <v>0</v>
      </c>
      <c r="AE108" s="63">
        <v>1</v>
      </c>
      <c r="AF108" s="63" t="s">
        <v>234</v>
      </c>
      <c r="AG108" s="63" t="s">
        <v>234</v>
      </c>
      <c r="AH108" s="73"/>
      <c r="AI108" s="63">
        <f>SUM(_xlfn._xlws.FILTER(AI8:AI218,(E8:E218=E108)*(F8:F218=F108)*(G8:G218=G108)*(H8:H218=H108)*(ISNUMBER(I8:I218))*(N8:N218=FALSE)*(O8:O218=TRUE),0))+SUM(_xlfn._xlws.FILTER(AI8:AI218,(E8:E218=E108)*(F8:F218=F108)*(G8:G218=G108)*(H8:H218=H108)*(I8:I218="")*(N8:N218=TRUE)*(O8:O218=TRUE),0))</f>
        <v>0</v>
      </c>
      <c r="AJ108" s="63"/>
      <c r="AK108" s="63"/>
      <c r="AL108" s="63">
        <f>SUM(_xlfn._xlws.FILTER(AL8:AL218,(E8:E218=E108)*(F8:F218=F108)*(G8:G218=G108)*(H8:H218=H108)*(ISNUMBER(I8:I218))*(N8:N218=FALSE)*(O8:O218=TRUE),0))+SUM(_xlfn._xlws.FILTER(AL8:AL218,(E8:E218=E108)*(F8:F218=F108)*(G8:G218=G108)*(H8:H218=H108)*(I8:I218="")*(N8:N218=TRUE)*(O8:O218=TRUE),0))</f>
        <v>0</v>
      </c>
      <c r="AM108" s="63">
        <f>SUM(_xlfn._xlws.FILTER(AM8:AM218,(E8:E218=E108)*(F8:F218=F108)*(G8:G218=G108)*(H8:H218=H108)*(ISNUMBER(I8:I218))*(N8:N218=FALSE)*(O8:O218=TRUE),0))+SUM(_xlfn._xlws.FILTER(AM8:AM218,(E8:E218=E108)*(F8:F218=F108)*(G8:G218=G108)*(H8:H218=H108)*(I8:I218="")*(N8:N218=TRUE)*(O8:O218=TRUE),0))</f>
        <v>0</v>
      </c>
      <c r="AN108" s="63"/>
      <c r="AO108" s="63"/>
      <c r="AP108" s="63" t="s">
        <v>234</v>
      </c>
      <c r="AQ108" s="63" t="s">
        <v>234</v>
      </c>
    </row>
    <row r="109" spans="2:43" ht="18" customHeight="1">
      <c r="B109" s="63"/>
      <c r="C109" s="63" t="s">
        <v>257</v>
      </c>
      <c r="D109" s="63" t="s">
        <v>257</v>
      </c>
      <c r="E109" s="63">
        <v>1</v>
      </c>
      <c r="F109" s="63">
        <v>2</v>
      </c>
      <c r="G109" s="63">
        <v>2</v>
      </c>
      <c r="H109" s="63">
        <v>1</v>
      </c>
      <c r="I109" s="63"/>
      <c r="J109" s="63">
        <v>1</v>
      </c>
      <c r="K109" s="72" t="str">
        <f t="shared" si="8"/>
        <v>001.002.002.001.---.001</v>
      </c>
      <c r="L109" s="72">
        <f t="shared" si="9"/>
        <v>1</v>
      </c>
      <c r="M109" s="72">
        <f t="shared" si="10"/>
        <v>4</v>
      </c>
      <c r="N109" s="72" t="b">
        <f t="shared" si="11"/>
        <v>1</v>
      </c>
      <c r="O109" s="72" t="b">
        <f t="shared" si="12"/>
        <v>1</v>
      </c>
      <c r="P109" s="72" t="b">
        <f t="shared" si="13"/>
        <v>1</v>
      </c>
      <c r="Q109" s="72" t="b">
        <f t="shared" si="14"/>
        <v>0</v>
      </c>
      <c r="R109" s="72" t="str">
        <f t="shared" si="15"/>
        <v>1.2.2.1.T1</v>
      </c>
      <c r="X109" s="60" t="s">
        <v>248</v>
      </c>
      <c r="Z109" s="63">
        <v>1</v>
      </c>
      <c r="AA109" s="63">
        <f>IF(AB109="完了",1,0)</f>
        <v>1</v>
      </c>
      <c r="AB109" s="63" t="s">
        <v>204</v>
      </c>
      <c r="AC109" s="63">
        <f>AM109/IF(AL109+AM109=0,1,AL109+AM109)</f>
        <v>0</v>
      </c>
      <c r="AD109" s="71"/>
      <c r="AE109" s="63">
        <v>1</v>
      </c>
      <c r="AF109" s="63" t="s">
        <v>234</v>
      </c>
      <c r="AG109" s="63" t="s">
        <v>234</v>
      </c>
      <c r="AH109" s="73"/>
      <c r="AI109" s="63"/>
      <c r="AJ109" s="63"/>
      <c r="AK109" s="63"/>
      <c r="AL109" s="63"/>
      <c r="AM109" s="63"/>
      <c r="AN109" s="63"/>
      <c r="AO109" s="63"/>
      <c r="AP109" s="63" t="s">
        <v>234</v>
      </c>
      <c r="AQ109" s="63" t="s">
        <v>234</v>
      </c>
    </row>
    <row r="110" spans="2:43" ht="18" customHeight="1">
      <c r="B110" s="63"/>
      <c r="C110" s="63" t="s">
        <v>257</v>
      </c>
      <c r="D110" s="63" t="s">
        <v>257</v>
      </c>
      <c r="E110" s="63">
        <v>1</v>
      </c>
      <c r="F110" s="63">
        <v>2</v>
      </c>
      <c r="G110" s="63">
        <v>2</v>
      </c>
      <c r="H110" s="63">
        <v>1</v>
      </c>
      <c r="I110" s="63"/>
      <c r="J110" s="63">
        <v>2</v>
      </c>
      <c r="K110" s="72" t="str">
        <f t="shared" si="8"/>
        <v>001.002.002.001.---.002</v>
      </c>
      <c r="L110" s="72">
        <f t="shared" si="9"/>
        <v>1</v>
      </c>
      <c r="M110" s="72">
        <f t="shared" si="10"/>
        <v>4</v>
      </c>
      <c r="N110" s="72" t="b">
        <f t="shared" si="11"/>
        <v>1</v>
      </c>
      <c r="O110" s="72" t="b">
        <f t="shared" si="12"/>
        <v>1</v>
      </c>
      <c r="P110" s="72" t="b">
        <f t="shared" si="13"/>
        <v>1</v>
      </c>
      <c r="Q110" s="72" t="b">
        <f t="shared" si="14"/>
        <v>0</v>
      </c>
      <c r="R110" s="72" t="str">
        <f t="shared" si="15"/>
        <v>1.2.2.1.T2</v>
      </c>
      <c r="X110" s="60" t="s">
        <v>249</v>
      </c>
      <c r="Z110" s="63">
        <v>1</v>
      </c>
      <c r="AA110" s="63">
        <f>IF(AB110="完了",1,0)</f>
        <v>0</v>
      </c>
      <c r="AB110" s="63" t="s">
        <v>250</v>
      </c>
      <c r="AC110" s="63">
        <f>AM110/IF(AL110+AM110=0,1,AL110+AM110)</f>
        <v>0</v>
      </c>
      <c r="AD110" s="71"/>
      <c r="AE110" s="63">
        <v>1</v>
      </c>
      <c r="AF110" s="63" t="s">
        <v>234</v>
      </c>
      <c r="AG110" s="63" t="s">
        <v>234</v>
      </c>
      <c r="AH110" s="73"/>
      <c r="AI110" s="63"/>
      <c r="AJ110" s="63"/>
      <c r="AK110" s="63"/>
      <c r="AL110" s="63"/>
      <c r="AM110" s="63"/>
      <c r="AN110" s="63"/>
      <c r="AO110" s="63"/>
      <c r="AP110" s="63" t="s">
        <v>234</v>
      </c>
      <c r="AQ110" s="63" t="s">
        <v>234</v>
      </c>
    </row>
    <row r="111" spans="2:43" ht="18" customHeight="1">
      <c r="B111" s="63"/>
      <c r="C111" s="63" t="s">
        <v>257</v>
      </c>
      <c r="D111" s="63" t="s">
        <v>257</v>
      </c>
      <c r="E111" s="63">
        <v>1</v>
      </c>
      <c r="F111" s="63">
        <v>2</v>
      </c>
      <c r="G111" s="63">
        <v>2</v>
      </c>
      <c r="H111" s="63">
        <v>1</v>
      </c>
      <c r="I111" s="63"/>
      <c r="J111" s="63">
        <v>3</v>
      </c>
      <c r="K111" s="72" t="str">
        <f t="shared" si="8"/>
        <v>001.002.002.001.---.003</v>
      </c>
      <c r="L111" s="72">
        <f t="shared" si="9"/>
        <v>1</v>
      </c>
      <c r="M111" s="72">
        <f t="shared" si="10"/>
        <v>4</v>
      </c>
      <c r="N111" s="72" t="b">
        <f t="shared" si="11"/>
        <v>1</v>
      </c>
      <c r="O111" s="72" t="b">
        <f t="shared" si="12"/>
        <v>1</v>
      </c>
      <c r="P111" s="72" t="b">
        <f t="shared" si="13"/>
        <v>1</v>
      </c>
      <c r="Q111" s="72" t="b">
        <f t="shared" si="14"/>
        <v>0</v>
      </c>
      <c r="R111" s="72" t="str">
        <f t="shared" si="15"/>
        <v>1.2.2.1.T3</v>
      </c>
      <c r="X111" s="60" t="s">
        <v>251</v>
      </c>
      <c r="Z111" s="63">
        <v>1</v>
      </c>
      <c r="AA111" s="63">
        <f>IF(AB111="完了",1,0)</f>
        <v>0</v>
      </c>
      <c r="AB111" s="63" t="s">
        <v>234</v>
      </c>
      <c r="AC111" s="63">
        <f>AM111/IF(AL111+AM111=0,1,AL111+AM111)</f>
        <v>0</v>
      </c>
      <c r="AD111" s="71"/>
      <c r="AE111" s="63">
        <v>1</v>
      </c>
      <c r="AF111" s="63" t="s">
        <v>234</v>
      </c>
      <c r="AG111" s="63" t="s">
        <v>234</v>
      </c>
      <c r="AH111" s="73"/>
      <c r="AI111" s="63"/>
      <c r="AJ111" s="63"/>
      <c r="AK111" s="63"/>
      <c r="AL111" s="63"/>
      <c r="AM111" s="63"/>
      <c r="AN111" s="63"/>
      <c r="AO111" s="63"/>
      <c r="AP111" s="63" t="s">
        <v>234</v>
      </c>
      <c r="AQ111" s="63" t="s">
        <v>234</v>
      </c>
    </row>
    <row r="112" spans="2:43" ht="18" customHeight="1">
      <c r="B112" s="63"/>
      <c r="C112" s="63" t="s">
        <v>257</v>
      </c>
      <c r="D112" s="63" t="s">
        <v>257</v>
      </c>
      <c r="E112" s="63">
        <v>1</v>
      </c>
      <c r="F112" s="63">
        <v>2</v>
      </c>
      <c r="G112" s="63">
        <v>2</v>
      </c>
      <c r="H112" s="63">
        <v>1</v>
      </c>
      <c r="I112" s="63">
        <v>1</v>
      </c>
      <c r="J112" s="63"/>
      <c r="K112" s="72" t="str">
        <f t="shared" si="8"/>
        <v>001.002.002.001.001.---</v>
      </c>
      <c r="L112" s="72">
        <f t="shared" si="9"/>
        <v>1</v>
      </c>
      <c r="M112" s="72">
        <f t="shared" si="10"/>
        <v>5</v>
      </c>
      <c r="N112" s="72" t="b">
        <f t="shared" si="11"/>
        <v>0</v>
      </c>
      <c r="O112" s="72" t="b">
        <f t="shared" si="12"/>
        <v>1</v>
      </c>
      <c r="P112" s="72" t="b">
        <f t="shared" si="13"/>
        <v>1</v>
      </c>
      <c r="Q112" s="72" t="b">
        <f t="shared" si="14"/>
        <v>1</v>
      </c>
      <c r="R112" s="72" t="str">
        <f t="shared" si="15"/>
        <v>1.2.2.1.1</v>
      </c>
      <c r="W112" s="60" t="s">
        <v>252</v>
      </c>
      <c r="Z112" s="63">
        <f>SUM(_xlfn._xlws.FILTER(Z8:Z218,(E8:E218=E112)*(F8:F218=F112)*(G8:G218=G112)*(H8:H218=H112)*(I8:I218=I112)*(N8:N218=TRUE)*(O8:O218=TRUE),0))</f>
        <v>3</v>
      </c>
      <c r="AA112" s="63">
        <f>SUM(_xlfn._xlws.FILTER(AA8:AA218,(E8:E218=E112)*(F8:F218=F112)*(G8:G218=G112)*(H8:H218=H112)*(I8:I218=I112)*(N8:N218=TRUE)*(O8:O218=TRUE),0))</f>
        <v>0</v>
      </c>
      <c r="AB112" s="63" t="s">
        <v>234</v>
      </c>
      <c r="AC112" s="63">
        <f>SUM(_xlfn._xlws.FILTER(AC8:AC218,(E8:E218=E112)*(F8:F218=F112)*(G8:G218=G112)*(H8:H218=H112)*(I8:I218=I112)*(N8:N218=TRUE)*(O8:O218=TRUE),0))/IF(IFERROR(COUNT(_xlfn._xlws.FILTER(AC8:AC218,(E8:E218=E112)*(F8:F218=F112)*(G8:G218=G112)*(H8:H218=H112)*(I8:I218=I112)*(N8:N218=TRUE)*(O8:O218=TRUE))),0)=0,1,IFERROR(COUNT(_xlfn._xlws.FILTER(AC8:AC218,(E8:E218=E112)*(F8:F218=F112)*(G8:G218=G112)*(H8:H218=H112)*(I8:I218=I112)*(N8:N218=TRUE)*(O8:O218=TRUE))),0))</f>
        <v>0</v>
      </c>
      <c r="AD112" s="71">
        <f>SUM(_xlfn._xlws.FILTER(AD8:AD218*(AE8:AE218),(E8:E218=E112)*(F8:F218=F112)*(G8:G218=G112)*(H8:H218=H112)*(I8:I218=I112)*(N8:N218=TRUE)*(O8:O218=TRUE),0))/IF(SUM(_xlfn._xlws.FILTER(AE8:AE218,(E8:E218=E112)*(F8:F218=F112)*(G8:G218=G112)*(H8:H218=H112)*(I8:I218=I112)*(N8:N218=TRUE)*(O8:O218=TRUE),0))=0,1,SUM(_xlfn._xlws.FILTER(AE8:AE218,(E8:E218=E112)*(F8:F218=F112)*(G8:G218=G112)*(H8:H218=H112)*(I8:I218=I112)*(N8:N218=TRUE)*(O8:O218=TRUE),0)))</f>
        <v>0</v>
      </c>
      <c r="AE112" s="63">
        <v>1</v>
      </c>
      <c r="AF112" s="63" t="s">
        <v>234</v>
      </c>
      <c r="AG112" s="63" t="s">
        <v>234</v>
      </c>
      <c r="AH112" s="73"/>
      <c r="AI112" s="63">
        <f>SUM(_xlfn._xlws.FILTER(AI8:AI218,(E8:E218=E112)*(F8:F218=F112)*(G8:G218=G112)*(H8:H218=H112)*(I8:I218=I112)*(N8:N218=TRUE)*(O8:O218=TRUE),0))</f>
        <v>0</v>
      </c>
      <c r="AJ112" s="63"/>
      <c r="AK112" s="63"/>
      <c r="AL112" s="63">
        <f>SUM(_xlfn._xlws.FILTER(AL8:AL218,(E8:E218=E112)*(F8:F218=F112)*(G8:G218=G112)*(H8:H218=H112)*(I8:I218=I112)*(N8:N218=TRUE)*(O8:O218=TRUE),0))</f>
        <v>0</v>
      </c>
      <c r="AM112" s="63">
        <f>SUM(_xlfn._xlws.FILTER(AM8:AM218,(E8:E218=E112)*(F8:F218=F112)*(G8:G218=G112)*(H8:H218=H112)*(I8:I218=I112)*(N8:N218=TRUE)*(O8:O218=TRUE),0))</f>
        <v>0</v>
      </c>
      <c r="AN112" s="63"/>
      <c r="AO112" s="63"/>
      <c r="AP112" s="63" t="s">
        <v>234</v>
      </c>
      <c r="AQ112" s="63" t="s">
        <v>234</v>
      </c>
    </row>
    <row r="113" spans="2:43" ht="18" customHeight="1">
      <c r="B113" s="63"/>
      <c r="C113" s="63" t="s">
        <v>257</v>
      </c>
      <c r="D113" s="63" t="s">
        <v>257</v>
      </c>
      <c r="E113" s="63">
        <v>1</v>
      </c>
      <c r="F113" s="63">
        <v>2</v>
      </c>
      <c r="G113" s="63">
        <v>2</v>
      </c>
      <c r="H113" s="63">
        <v>1</v>
      </c>
      <c r="I113" s="63">
        <v>1</v>
      </c>
      <c r="J113" s="63">
        <v>1</v>
      </c>
      <c r="K113" s="72" t="str">
        <f t="shared" si="8"/>
        <v>001.002.002.001.001.001</v>
      </c>
      <c r="L113" s="72">
        <f t="shared" si="9"/>
        <v>1</v>
      </c>
      <c r="M113" s="72">
        <f t="shared" si="10"/>
        <v>5</v>
      </c>
      <c r="N113" s="72" t="b">
        <f t="shared" si="11"/>
        <v>1</v>
      </c>
      <c r="O113" s="72" t="b">
        <f t="shared" si="12"/>
        <v>1</v>
      </c>
      <c r="P113" s="72" t="b">
        <f t="shared" si="13"/>
        <v>1</v>
      </c>
      <c r="Q113" s="72" t="b">
        <f t="shared" si="14"/>
        <v>0</v>
      </c>
      <c r="R113" s="72" t="str">
        <f t="shared" si="15"/>
        <v>1.2.2.1.1.T1</v>
      </c>
      <c r="X113" s="60" t="s">
        <v>253</v>
      </c>
      <c r="Z113" s="63">
        <v>1</v>
      </c>
      <c r="AA113" s="63">
        <f>IF(AB113="完了",1,0)</f>
        <v>0</v>
      </c>
      <c r="AB113" s="63" t="s">
        <v>234</v>
      </c>
      <c r="AC113" s="63">
        <f>AM113/IF(AL113+AM113=0,1,AL113+AM113)</f>
        <v>0</v>
      </c>
      <c r="AD113" s="71"/>
      <c r="AE113" s="63">
        <v>1</v>
      </c>
      <c r="AF113" s="63" t="s">
        <v>234</v>
      </c>
      <c r="AG113" s="63" t="s">
        <v>234</v>
      </c>
      <c r="AH113" s="73"/>
      <c r="AI113" s="63"/>
      <c r="AJ113" s="63"/>
      <c r="AK113" s="63"/>
      <c r="AL113" s="63"/>
      <c r="AM113" s="63"/>
      <c r="AN113" s="63"/>
      <c r="AO113" s="63"/>
      <c r="AP113" s="63" t="s">
        <v>234</v>
      </c>
      <c r="AQ113" s="63" t="s">
        <v>234</v>
      </c>
    </row>
    <row r="114" spans="2:43" ht="18" customHeight="1">
      <c r="B114" s="63"/>
      <c r="C114" s="63" t="s">
        <v>257</v>
      </c>
      <c r="D114" s="63" t="s">
        <v>257</v>
      </c>
      <c r="E114" s="63">
        <v>1</v>
      </c>
      <c r="F114" s="63">
        <v>2</v>
      </c>
      <c r="G114" s="63">
        <v>2</v>
      </c>
      <c r="H114" s="63">
        <v>1</v>
      </c>
      <c r="I114" s="63">
        <v>1</v>
      </c>
      <c r="J114" s="63">
        <v>2</v>
      </c>
      <c r="K114" s="72" t="str">
        <f t="shared" si="8"/>
        <v>001.002.002.001.001.002</v>
      </c>
      <c r="L114" s="72">
        <f t="shared" si="9"/>
        <v>1</v>
      </c>
      <c r="M114" s="72">
        <f t="shared" si="10"/>
        <v>5</v>
      </c>
      <c r="N114" s="72" t="b">
        <f t="shared" si="11"/>
        <v>1</v>
      </c>
      <c r="O114" s="72" t="b">
        <f t="shared" si="12"/>
        <v>1</v>
      </c>
      <c r="P114" s="72" t="b">
        <f t="shared" si="13"/>
        <v>1</v>
      </c>
      <c r="Q114" s="72" t="b">
        <f t="shared" si="14"/>
        <v>0</v>
      </c>
      <c r="R114" s="72" t="str">
        <f t="shared" si="15"/>
        <v>1.2.2.1.1.T2</v>
      </c>
      <c r="X114" s="60" t="s">
        <v>254</v>
      </c>
      <c r="Z114" s="63">
        <v>1</v>
      </c>
      <c r="AA114" s="63">
        <f>IF(AB114="完了",1,0)</f>
        <v>0</v>
      </c>
      <c r="AB114" s="63" t="s">
        <v>234</v>
      </c>
      <c r="AC114" s="63">
        <f>AM114/IF(AL114+AM114=0,1,AL114+AM114)</f>
        <v>0</v>
      </c>
      <c r="AD114" s="71"/>
      <c r="AE114" s="63">
        <v>1</v>
      </c>
      <c r="AF114" s="63" t="s">
        <v>234</v>
      </c>
      <c r="AG114" s="63" t="s">
        <v>234</v>
      </c>
      <c r="AH114" s="73"/>
      <c r="AI114" s="63"/>
      <c r="AJ114" s="63"/>
      <c r="AK114" s="63"/>
      <c r="AL114" s="63"/>
      <c r="AM114" s="63"/>
      <c r="AN114" s="63"/>
      <c r="AO114" s="63"/>
      <c r="AP114" s="63" t="s">
        <v>234</v>
      </c>
      <c r="AQ114" s="63" t="s">
        <v>234</v>
      </c>
    </row>
    <row r="115" spans="2:43" ht="18" customHeight="1">
      <c r="B115" s="63"/>
      <c r="C115" s="63" t="s">
        <v>257</v>
      </c>
      <c r="D115" s="63" t="s">
        <v>257</v>
      </c>
      <c r="E115" s="63">
        <v>1</v>
      </c>
      <c r="F115" s="63">
        <v>2</v>
      </c>
      <c r="G115" s="63">
        <v>2</v>
      </c>
      <c r="H115" s="63">
        <v>1</v>
      </c>
      <c r="I115" s="63">
        <v>1</v>
      </c>
      <c r="J115" s="63">
        <v>3</v>
      </c>
      <c r="K115" s="72" t="str">
        <f t="shared" si="8"/>
        <v>001.002.002.001.001.003</v>
      </c>
      <c r="L115" s="72">
        <f t="shared" si="9"/>
        <v>1</v>
      </c>
      <c r="M115" s="72">
        <f t="shared" si="10"/>
        <v>5</v>
      </c>
      <c r="N115" s="72" t="b">
        <f t="shared" si="11"/>
        <v>1</v>
      </c>
      <c r="O115" s="72" t="b">
        <f t="shared" si="12"/>
        <v>1</v>
      </c>
      <c r="P115" s="72" t="b">
        <f t="shared" si="13"/>
        <v>1</v>
      </c>
      <c r="Q115" s="72" t="b">
        <f t="shared" si="14"/>
        <v>0</v>
      </c>
      <c r="R115" s="72" t="str">
        <f t="shared" si="15"/>
        <v>1.2.2.1.1.T3</v>
      </c>
      <c r="Z115" s="63">
        <v>1</v>
      </c>
      <c r="AA115" s="63">
        <f>IF(AB115="完了",1,0)</f>
        <v>0</v>
      </c>
      <c r="AB115" s="63" t="s">
        <v>234</v>
      </c>
      <c r="AC115" s="63">
        <f>AM115/IF(AL115+AM115=0,1,AL115+AM115)</f>
        <v>0</v>
      </c>
      <c r="AD115" s="71"/>
      <c r="AE115" s="63">
        <v>1</v>
      </c>
      <c r="AF115" s="63" t="s">
        <v>234</v>
      </c>
      <c r="AG115" s="63" t="s">
        <v>234</v>
      </c>
      <c r="AH115" s="73"/>
      <c r="AI115" s="63"/>
      <c r="AJ115" s="63"/>
      <c r="AK115" s="63"/>
      <c r="AL115" s="63"/>
      <c r="AM115" s="63"/>
      <c r="AN115" s="63"/>
      <c r="AO115" s="63"/>
      <c r="AP115" s="63" t="s">
        <v>234</v>
      </c>
      <c r="AQ115" s="63" t="s">
        <v>234</v>
      </c>
    </row>
    <row r="116" spans="2:43" ht="18" customHeight="1">
      <c r="B116" s="63"/>
      <c r="C116" s="63" t="s">
        <v>257</v>
      </c>
      <c r="D116" s="63" t="s">
        <v>257</v>
      </c>
      <c r="E116" s="63">
        <v>1</v>
      </c>
      <c r="F116" s="63">
        <v>2</v>
      </c>
      <c r="G116" s="63">
        <v>2</v>
      </c>
      <c r="H116" s="63">
        <v>1</v>
      </c>
      <c r="I116" s="63">
        <v>2</v>
      </c>
      <c r="J116" s="63"/>
      <c r="K116" s="72" t="str">
        <f t="shared" si="8"/>
        <v>001.002.002.001.002.---</v>
      </c>
      <c r="L116" s="72">
        <f t="shared" si="9"/>
        <v>1</v>
      </c>
      <c r="M116" s="72">
        <f t="shared" si="10"/>
        <v>5</v>
      </c>
      <c r="N116" s="72" t="b">
        <f t="shared" si="11"/>
        <v>0</v>
      </c>
      <c r="O116" s="72" t="b">
        <f t="shared" si="12"/>
        <v>1</v>
      </c>
      <c r="P116" s="72" t="b">
        <f t="shared" si="13"/>
        <v>1</v>
      </c>
      <c r="Q116" s="72" t="b">
        <f t="shared" si="14"/>
        <v>1</v>
      </c>
      <c r="R116" s="72" t="str">
        <f t="shared" si="15"/>
        <v>1.2.2.1.2</v>
      </c>
      <c r="Z116" s="63">
        <f>SUM(_xlfn._xlws.FILTER(Z8:Z218,(E8:E218=E116)*(F8:F218=F116)*(G8:G218=G116)*(H8:H218=H116)*(I8:I218=I116)*(N8:N218=TRUE)*(O8:O218=TRUE),0))</f>
        <v>3</v>
      </c>
      <c r="AA116" s="63">
        <f>SUM(_xlfn._xlws.FILTER(AA8:AA218,(E8:E218=E116)*(F8:F218=F116)*(G8:G218=G116)*(H8:H218=H116)*(I8:I218=I116)*(N8:N218=TRUE)*(O8:O218=TRUE),0))</f>
        <v>0</v>
      </c>
      <c r="AB116" s="63" t="s">
        <v>234</v>
      </c>
      <c r="AC116" s="63">
        <f>SUM(_xlfn._xlws.FILTER(AC8:AC218,(E8:E218=E116)*(F8:F218=F116)*(G8:G218=G116)*(H8:H218=H116)*(I8:I218=I116)*(N8:N218=TRUE)*(O8:O218=TRUE),0))/IF(IFERROR(COUNT(_xlfn._xlws.FILTER(AC8:AC218,(E8:E218=E116)*(F8:F218=F116)*(G8:G218=G116)*(H8:H218=H116)*(I8:I218=I116)*(N8:N218=TRUE)*(O8:O218=TRUE))),0)=0,1,IFERROR(COUNT(_xlfn._xlws.FILTER(AC8:AC218,(E8:E218=E116)*(F8:F218=F116)*(G8:G218=G116)*(H8:H218=H116)*(I8:I218=I116)*(N8:N218=TRUE)*(O8:O218=TRUE))),0))</f>
        <v>0</v>
      </c>
      <c r="AD116" s="71">
        <f>SUM(_xlfn._xlws.FILTER(AD8:AD218*(AE8:AE218),(E8:E218=E116)*(F8:F218=F116)*(G8:G218=G116)*(H8:H218=H116)*(I8:I218=I116)*(N8:N218=TRUE)*(O8:O218=TRUE),0))/IF(SUM(_xlfn._xlws.FILTER(AE8:AE218,(E8:E218=E116)*(F8:F218=F116)*(G8:G218=G116)*(H8:H218=H116)*(I8:I218=I116)*(N8:N218=TRUE)*(O8:O218=TRUE),0))=0,1,SUM(_xlfn._xlws.FILTER(AE8:AE218,(E8:E218=E116)*(F8:F218=F116)*(G8:G218=G116)*(H8:H218=H116)*(I8:I218=I116)*(N8:N218=TRUE)*(O8:O218=TRUE),0)))</f>
        <v>0</v>
      </c>
      <c r="AE116" s="63">
        <v>1</v>
      </c>
      <c r="AF116" s="63" t="s">
        <v>234</v>
      </c>
      <c r="AG116" s="63" t="s">
        <v>234</v>
      </c>
      <c r="AH116" s="73"/>
      <c r="AI116" s="63">
        <f>SUM(_xlfn._xlws.FILTER(AI8:AI218,(E8:E218=E116)*(F8:F218=F116)*(G8:G218=G116)*(H8:H218=H116)*(I8:I218=I116)*(N8:N218=TRUE)*(O8:O218=TRUE),0))</f>
        <v>0</v>
      </c>
      <c r="AJ116" s="63"/>
      <c r="AK116" s="63"/>
      <c r="AL116" s="63">
        <f>SUM(_xlfn._xlws.FILTER(AL8:AL218,(E8:E218=E116)*(F8:F218=F116)*(G8:G218=G116)*(H8:H218=H116)*(I8:I218=I116)*(N8:N218=TRUE)*(O8:O218=TRUE),0))</f>
        <v>0</v>
      </c>
      <c r="AM116" s="63">
        <f>SUM(_xlfn._xlws.FILTER(AM8:AM218,(E8:E218=E116)*(F8:F218=F116)*(G8:G218=G116)*(H8:H218=H116)*(I8:I218=I116)*(N8:N218=TRUE)*(O8:O218=TRUE),0))</f>
        <v>0</v>
      </c>
      <c r="AN116" s="63"/>
      <c r="AO116" s="63"/>
      <c r="AP116" s="63" t="s">
        <v>234</v>
      </c>
      <c r="AQ116" s="63" t="s">
        <v>234</v>
      </c>
    </row>
    <row r="117" spans="2:43" ht="18" customHeight="1">
      <c r="B117" s="63"/>
      <c r="C117" s="63" t="s">
        <v>257</v>
      </c>
      <c r="D117" s="63" t="s">
        <v>257</v>
      </c>
      <c r="E117" s="63">
        <v>1</v>
      </c>
      <c r="F117" s="63">
        <v>2</v>
      </c>
      <c r="G117" s="63">
        <v>2</v>
      </c>
      <c r="H117" s="63">
        <v>1</v>
      </c>
      <c r="I117" s="63">
        <v>2</v>
      </c>
      <c r="J117" s="63">
        <v>1</v>
      </c>
      <c r="K117" s="72" t="str">
        <f t="shared" si="8"/>
        <v>001.002.002.001.002.001</v>
      </c>
      <c r="L117" s="72">
        <f t="shared" si="9"/>
        <v>1</v>
      </c>
      <c r="M117" s="72">
        <f t="shared" si="10"/>
        <v>5</v>
      </c>
      <c r="N117" s="72" t="b">
        <f t="shared" si="11"/>
        <v>1</v>
      </c>
      <c r="O117" s="72" t="b">
        <f t="shared" si="12"/>
        <v>1</v>
      </c>
      <c r="P117" s="72" t="b">
        <f t="shared" si="13"/>
        <v>1</v>
      </c>
      <c r="Q117" s="72" t="b">
        <f t="shared" si="14"/>
        <v>0</v>
      </c>
      <c r="R117" s="72" t="str">
        <f t="shared" si="15"/>
        <v>1.2.2.1.2.T1</v>
      </c>
      <c r="X117" s="60" t="s">
        <v>253</v>
      </c>
      <c r="Z117" s="63">
        <v>1</v>
      </c>
      <c r="AA117" s="63">
        <f>IF(AB117="完了",1,0)</f>
        <v>0</v>
      </c>
      <c r="AB117" s="63" t="s">
        <v>234</v>
      </c>
      <c r="AC117" s="63">
        <f>AM117/IF(AL117+AM117=0,1,AL117+AM117)</f>
        <v>0</v>
      </c>
      <c r="AD117" s="71"/>
      <c r="AE117" s="63">
        <v>1</v>
      </c>
      <c r="AF117" s="63" t="s">
        <v>234</v>
      </c>
      <c r="AG117" s="63" t="s">
        <v>234</v>
      </c>
      <c r="AH117" s="73"/>
      <c r="AI117" s="63"/>
      <c r="AJ117" s="63"/>
      <c r="AK117" s="63"/>
      <c r="AL117" s="63"/>
      <c r="AM117" s="63"/>
      <c r="AN117" s="63"/>
      <c r="AO117" s="63"/>
      <c r="AP117" s="63" t="s">
        <v>234</v>
      </c>
      <c r="AQ117" s="63" t="s">
        <v>234</v>
      </c>
    </row>
    <row r="118" spans="2:43" ht="18" customHeight="1">
      <c r="B118" s="63"/>
      <c r="C118" s="63" t="s">
        <v>257</v>
      </c>
      <c r="D118" s="63" t="s">
        <v>257</v>
      </c>
      <c r="E118" s="63">
        <v>1</v>
      </c>
      <c r="F118" s="63">
        <v>2</v>
      </c>
      <c r="G118" s="63">
        <v>2</v>
      </c>
      <c r="H118" s="63">
        <v>1</v>
      </c>
      <c r="I118" s="63">
        <v>2</v>
      </c>
      <c r="J118" s="63">
        <v>2</v>
      </c>
      <c r="K118" s="72" t="str">
        <f t="shared" si="8"/>
        <v>001.002.002.001.002.002</v>
      </c>
      <c r="L118" s="72">
        <f t="shared" si="9"/>
        <v>1</v>
      </c>
      <c r="M118" s="72">
        <f t="shared" si="10"/>
        <v>5</v>
      </c>
      <c r="N118" s="72" t="b">
        <f t="shared" si="11"/>
        <v>1</v>
      </c>
      <c r="O118" s="72" t="b">
        <f t="shared" si="12"/>
        <v>1</v>
      </c>
      <c r="P118" s="72" t="b">
        <f t="shared" si="13"/>
        <v>1</v>
      </c>
      <c r="Q118" s="72" t="b">
        <f t="shared" si="14"/>
        <v>0</v>
      </c>
      <c r="R118" s="72" t="str">
        <f t="shared" si="15"/>
        <v>1.2.2.1.2.T2</v>
      </c>
      <c r="X118" s="60" t="s">
        <v>254</v>
      </c>
      <c r="Z118" s="63">
        <v>1</v>
      </c>
      <c r="AA118" s="63">
        <f>IF(AB118="完了",1,0)</f>
        <v>0</v>
      </c>
      <c r="AB118" s="63" t="s">
        <v>234</v>
      </c>
      <c r="AC118" s="63">
        <f>AM118/IF(AL118+AM118=0,1,AL118+AM118)</f>
        <v>0</v>
      </c>
      <c r="AD118" s="71"/>
      <c r="AE118" s="63">
        <v>1</v>
      </c>
      <c r="AF118" s="63" t="s">
        <v>234</v>
      </c>
      <c r="AG118" s="63" t="s">
        <v>234</v>
      </c>
      <c r="AH118" s="73"/>
      <c r="AI118" s="63"/>
      <c r="AJ118" s="63"/>
      <c r="AK118" s="63"/>
      <c r="AL118" s="63"/>
      <c r="AM118" s="63"/>
      <c r="AN118" s="63"/>
      <c r="AO118" s="63"/>
      <c r="AP118" s="63" t="s">
        <v>234</v>
      </c>
      <c r="AQ118" s="63" t="s">
        <v>234</v>
      </c>
    </row>
    <row r="119" spans="2:43" ht="18" customHeight="1">
      <c r="B119" s="63"/>
      <c r="C119" s="63" t="s">
        <v>257</v>
      </c>
      <c r="D119" s="63" t="s">
        <v>257</v>
      </c>
      <c r="E119" s="63">
        <v>1</v>
      </c>
      <c r="F119" s="63">
        <v>2</v>
      </c>
      <c r="G119" s="63">
        <v>2</v>
      </c>
      <c r="H119" s="63">
        <v>1</v>
      </c>
      <c r="I119" s="63">
        <v>2</v>
      </c>
      <c r="J119" s="63">
        <v>3</v>
      </c>
      <c r="K119" s="72" t="str">
        <f t="shared" si="8"/>
        <v>001.002.002.001.002.003</v>
      </c>
      <c r="L119" s="72">
        <f t="shared" si="9"/>
        <v>1</v>
      </c>
      <c r="M119" s="72">
        <f t="shared" si="10"/>
        <v>5</v>
      </c>
      <c r="N119" s="72" t="b">
        <f t="shared" si="11"/>
        <v>1</v>
      </c>
      <c r="O119" s="72" t="b">
        <f t="shared" si="12"/>
        <v>1</v>
      </c>
      <c r="P119" s="72" t="b">
        <f t="shared" si="13"/>
        <v>1</v>
      </c>
      <c r="Q119" s="72" t="b">
        <f t="shared" si="14"/>
        <v>0</v>
      </c>
      <c r="R119" s="72" t="str">
        <f t="shared" si="15"/>
        <v>1.2.2.1.2.T3</v>
      </c>
      <c r="Z119" s="63">
        <v>1</v>
      </c>
      <c r="AA119" s="63">
        <f>IF(AB119="完了",1,0)</f>
        <v>0</v>
      </c>
      <c r="AB119" s="63" t="s">
        <v>234</v>
      </c>
      <c r="AC119" s="63">
        <f>AM119/IF(AL119+AM119=0,1,AL119+AM119)</f>
        <v>0</v>
      </c>
      <c r="AD119" s="71"/>
      <c r="AE119" s="63">
        <v>1</v>
      </c>
      <c r="AF119" s="63" t="s">
        <v>234</v>
      </c>
      <c r="AG119" s="63" t="s">
        <v>234</v>
      </c>
      <c r="AH119" s="73"/>
      <c r="AI119" s="63"/>
      <c r="AJ119" s="63"/>
      <c r="AK119" s="63"/>
      <c r="AL119" s="63"/>
      <c r="AM119" s="63"/>
      <c r="AN119" s="63"/>
      <c r="AO119" s="63"/>
      <c r="AP119" s="63" t="s">
        <v>234</v>
      </c>
      <c r="AQ119" s="63" t="s">
        <v>234</v>
      </c>
    </row>
    <row r="120" spans="2:43" ht="18" customHeight="1">
      <c r="B120" s="63"/>
      <c r="C120" s="63" t="s">
        <v>257</v>
      </c>
      <c r="D120" s="63" t="s">
        <v>257</v>
      </c>
      <c r="E120" s="63">
        <v>1</v>
      </c>
      <c r="F120" s="63">
        <v>2</v>
      </c>
      <c r="G120" s="63">
        <v>2</v>
      </c>
      <c r="H120" s="63">
        <v>2</v>
      </c>
      <c r="I120" s="63"/>
      <c r="J120" s="63"/>
      <c r="K120" s="72" t="str">
        <f t="shared" si="8"/>
        <v>001.002.002.002.---.---</v>
      </c>
      <c r="L120" s="72">
        <f t="shared" si="9"/>
        <v>1</v>
      </c>
      <c r="M120" s="72">
        <f t="shared" si="10"/>
        <v>4</v>
      </c>
      <c r="N120" s="72" t="b">
        <f t="shared" si="11"/>
        <v>0</v>
      </c>
      <c r="O120" s="72" t="b">
        <f t="shared" si="12"/>
        <v>1</v>
      </c>
      <c r="P120" s="72" t="b">
        <f t="shared" si="13"/>
        <v>1</v>
      </c>
      <c r="Q120" s="72" t="b">
        <f t="shared" si="14"/>
        <v>1</v>
      </c>
      <c r="R120" s="72" t="str">
        <f t="shared" si="15"/>
        <v>1.2.2.2</v>
      </c>
      <c r="Z120" s="63">
        <f>SUM(_xlfn._xlws.FILTER(Z8:Z218,(E8:E218=E120)*(F8:F218=F120)*(G8:G218=G120)*(H8:H218=H120)*(ISNUMBER(I8:I218))*(N8:N218=FALSE)*(O8:O218=TRUE),0))+SUM(_xlfn._xlws.FILTER(Z8:Z218,(E8:E218=E120)*(F8:F218=F120)*(G8:G218=G120)*(H8:H218=H120)*(I8:I218="")*(N8:N218=TRUE)*(O8:O218=TRUE),0))</f>
        <v>9</v>
      </c>
      <c r="AA120" s="63">
        <f>SUM(_xlfn._xlws.FILTER(AA8:AA218,(E8:E218=E120)*(F8:F218=F120)*(G8:G218=G120)*(H8:H218=H120)*(ISNUMBER(I8:I218))*(N8:N218=FALSE)*(O8:O218=TRUE),0))+SUM(_xlfn._xlws.FILTER(AA8:AA218,(E8:E218=E120)*(F8:F218=F120)*(G8:G218=G120)*(H8:H218=H120)*(I8:I218="")*(N8:N218=TRUE)*(O8:O218=TRUE),0))</f>
        <v>1</v>
      </c>
      <c r="AB120" s="63" t="s">
        <v>234</v>
      </c>
      <c r="AC120" s="63">
        <f>(SUM(_xlfn._xlws.FILTER(AC8:AC218,(E8:E218=E120)*(F8:F218=F120)*(G8:G218=G120)*(H8:H218=H120)*(ISNUMBER(I8:I218))*(N8:N218=FALSE)*(O8:O218=TRUE),0))+SUM(_xlfn._xlws.FILTER(AC8:AC218,(E8:E218=E120)*(F8:F218=F120)*(G8:G218=G120)*(H8:H218=H120)*(I8:I218="")*(N8:N218=TRUE)*(O8:O218=TRUE),0)))/IF(IFERROR(COUNT(_xlfn._xlws.FILTER(AC8:AC218,(E8:E218=E120)*(F8:F218=F120)*(G8:G218=G120)*(H8:H218=H120)*(ISNUMBER(I8:I218))*(N8:N218=FALSE)*(O8:O218=TRUE))),0)+IFERROR(COUNT(_xlfn._xlws.FILTER(AC8:AC218,(E8:E218=E120)*(F8:F218=F120)*(G8:G218=G120)*(H8:H218=H120)*(I8:I218="")*(N8:N218=TRUE)*(O8:O218=TRUE))),0)=0,1,IFERROR(COUNT(_xlfn._xlws.FILTER(AC8:AC218,(E8:E218=E120)*(F8:F218=F120)*(G8:G218=G120)*(H8:H218=H120)*(ISNUMBER(I8:I218))*(N8:N218=FALSE)*(O8:O218=TRUE))),0)+IFERROR(COUNT(_xlfn._xlws.FILTER(AC8:AC218,(E8:E218=E120)*(F8:F218=F120)*(G8:G218=G120)*(H8:H218=H120)*(I8:I218="")*(N8:N218=TRUE)*(O8:O218=TRUE))),0))</f>
        <v>0</v>
      </c>
      <c r="AD120" s="71">
        <f>(SUM(_xlfn._xlws.FILTER(AD8:AD218*(AE8:AE218),(E8:E218=E120)*(F8:F218=F120)*(G8:G218=G120)*(H8:H218=H120)*(ISNUMBER(I8:I218))*(N8:N218=FALSE)*(O8:O218=TRUE),0))+SUM(_xlfn._xlws.FILTER(AD8:AD218*(AE8:AE218),(E8:E218=E120)*(F8:F218=F120)*(G8:G218=G120)*(H8:H218=H120)*(I8:I218="")*(N8:N218=TRUE)*(O8:O218=TRUE),0)))/IF(SUM(_xlfn._xlws.FILTER(AE8:AE218,(E8:E218=E120)*(F8:F218=F120)*(G8:G218=G120)*(H8:H218=H120)*(ISNUMBER(I8:I218))*(N8:N218=FALSE)*(O8:O218=TRUE),0))+SUM(_xlfn._xlws.FILTER(AE8:AE218,(E8:E218=E120)*(F8:F218=F120)*(G8:G218=G120)*(H8:H218=H120)*(I8:I218="")*(N8:N218=TRUE)*(O8:O218=TRUE),0))=0,1,SUM(_xlfn._xlws.FILTER(AE8:AE218,(E8:E218=E120)*(F8:F218=F120)*(G8:G218=G120)*(H8:H218=H120)*(ISNUMBER(I8:I218))*(N8:N218=FALSE)*(O8:O218=TRUE),0))+SUM(_xlfn._xlws.FILTER(AE8:AE218,(E8:E218=E120)*(F8:F218=F120)*(G8:G218=G120)*(H8:H218=H120)*(I8:I218="")*(N8:N218=TRUE)*(O8:O218=TRUE),0)))</f>
        <v>0</v>
      </c>
      <c r="AE120" s="63">
        <v>1</v>
      </c>
      <c r="AF120" s="63" t="s">
        <v>234</v>
      </c>
      <c r="AG120" s="63" t="s">
        <v>234</v>
      </c>
      <c r="AH120" s="73"/>
      <c r="AI120" s="63">
        <f>SUM(_xlfn._xlws.FILTER(AI8:AI218,(E8:E218=E120)*(F8:F218=F120)*(G8:G218=G120)*(H8:H218=H120)*(ISNUMBER(I8:I218))*(N8:N218=FALSE)*(O8:O218=TRUE),0))+SUM(_xlfn._xlws.FILTER(AI8:AI218,(E8:E218=E120)*(F8:F218=F120)*(G8:G218=G120)*(H8:H218=H120)*(I8:I218="")*(N8:N218=TRUE)*(O8:O218=TRUE),0))</f>
        <v>0</v>
      </c>
      <c r="AJ120" s="63"/>
      <c r="AK120" s="63"/>
      <c r="AL120" s="63">
        <f>SUM(_xlfn._xlws.FILTER(AL8:AL218,(E8:E218=E120)*(F8:F218=F120)*(G8:G218=G120)*(H8:H218=H120)*(ISNUMBER(I8:I218))*(N8:N218=FALSE)*(O8:O218=TRUE),0))+SUM(_xlfn._xlws.FILTER(AL8:AL218,(E8:E218=E120)*(F8:F218=F120)*(G8:G218=G120)*(H8:H218=H120)*(I8:I218="")*(N8:N218=TRUE)*(O8:O218=TRUE),0))</f>
        <v>0</v>
      </c>
      <c r="AM120" s="63">
        <f>SUM(_xlfn._xlws.FILTER(AM8:AM218,(E8:E218=E120)*(F8:F218=F120)*(G8:G218=G120)*(H8:H218=H120)*(ISNUMBER(I8:I218))*(N8:N218=FALSE)*(O8:O218=TRUE),0))+SUM(_xlfn._xlws.FILTER(AM8:AM218,(E8:E218=E120)*(F8:F218=F120)*(G8:G218=G120)*(H8:H218=H120)*(I8:I218="")*(N8:N218=TRUE)*(O8:O218=TRUE),0))</f>
        <v>0</v>
      </c>
      <c r="AN120" s="63"/>
      <c r="AO120" s="63"/>
      <c r="AP120" s="63" t="s">
        <v>234</v>
      </c>
      <c r="AQ120" s="63" t="s">
        <v>234</v>
      </c>
    </row>
    <row r="121" spans="2:43" ht="18" customHeight="1">
      <c r="B121" s="63"/>
      <c r="C121" s="63" t="s">
        <v>257</v>
      </c>
      <c r="D121" s="63" t="s">
        <v>257</v>
      </c>
      <c r="E121" s="63">
        <v>1</v>
      </c>
      <c r="F121" s="63">
        <v>2</v>
      </c>
      <c r="G121" s="63">
        <v>2</v>
      </c>
      <c r="H121" s="63">
        <v>2</v>
      </c>
      <c r="I121" s="63"/>
      <c r="J121" s="63">
        <v>1</v>
      </c>
      <c r="K121" s="72" t="str">
        <f t="shared" si="8"/>
        <v>001.002.002.002.---.001</v>
      </c>
      <c r="L121" s="72">
        <f t="shared" si="9"/>
        <v>1</v>
      </c>
      <c r="M121" s="72">
        <f t="shared" si="10"/>
        <v>4</v>
      </c>
      <c r="N121" s="72" t="b">
        <f t="shared" si="11"/>
        <v>1</v>
      </c>
      <c r="O121" s="72" t="b">
        <f t="shared" si="12"/>
        <v>1</v>
      </c>
      <c r="P121" s="72" t="b">
        <f t="shared" si="13"/>
        <v>1</v>
      </c>
      <c r="Q121" s="72" t="b">
        <f t="shared" si="14"/>
        <v>0</v>
      </c>
      <c r="R121" s="72" t="str">
        <f t="shared" si="15"/>
        <v>1.2.2.2.T1</v>
      </c>
      <c r="X121" s="60" t="s">
        <v>248</v>
      </c>
      <c r="Z121" s="63">
        <v>1</v>
      </c>
      <c r="AA121" s="63">
        <f>IF(AB121="完了",1,0)</f>
        <v>1</v>
      </c>
      <c r="AB121" s="63" t="s">
        <v>204</v>
      </c>
      <c r="AC121" s="63">
        <f>AM121/IF(AL121+AM121=0,1,AL121+AM121)</f>
        <v>0</v>
      </c>
      <c r="AD121" s="71"/>
      <c r="AE121" s="63">
        <v>1</v>
      </c>
      <c r="AF121" s="63" t="s">
        <v>234</v>
      </c>
      <c r="AG121" s="63" t="s">
        <v>234</v>
      </c>
      <c r="AH121" s="73"/>
      <c r="AI121" s="63"/>
      <c r="AJ121" s="63"/>
      <c r="AK121" s="63"/>
      <c r="AL121" s="63"/>
      <c r="AM121" s="63"/>
      <c r="AN121" s="63"/>
      <c r="AO121" s="63"/>
      <c r="AP121" s="63" t="s">
        <v>234</v>
      </c>
      <c r="AQ121" s="63" t="s">
        <v>234</v>
      </c>
    </row>
    <row r="122" spans="2:43" ht="18" customHeight="1">
      <c r="B122" s="63"/>
      <c r="C122" s="63" t="s">
        <v>257</v>
      </c>
      <c r="D122" s="63" t="s">
        <v>257</v>
      </c>
      <c r="E122" s="63">
        <v>1</v>
      </c>
      <c r="F122" s="63">
        <v>2</v>
      </c>
      <c r="G122" s="63">
        <v>2</v>
      </c>
      <c r="H122" s="63">
        <v>2</v>
      </c>
      <c r="I122" s="63"/>
      <c r="J122" s="63">
        <v>2</v>
      </c>
      <c r="K122" s="72" t="str">
        <f t="shared" si="8"/>
        <v>001.002.002.002.---.002</v>
      </c>
      <c r="L122" s="72">
        <f t="shared" si="9"/>
        <v>1</v>
      </c>
      <c r="M122" s="72">
        <f t="shared" si="10"/>
        <v>4</v>
      </c>
      <c r="N122" s="72" t="b">
        <f t="shared" si="11"/>
        <v>1</v>
      </c>
      <c r="O122" s="72" t="b">
        <f t="shared" si="12"/>
        <v>1</v>
      </c>
      <c r="P122" s="72" t="b">
        <f t="shared" si="13"/>
        <v>1</v>
      </c>
      <c r="Q122" s="72" t="b">
        <f t="shared" si="14"/>
        <v>0</v>
      </c>
      <c r="R122" s="72" t="str">
        <f t="shared" si="15"/>
        <v>1.2.2.2.T2</v>
      </c>
      <c r="X122" s="60" t="s">
        <v>249</v>
      </c>
      <c r="Z122" s="63">
        <v>1</v>
      </c>
      <c r="AA122" s="63">
        <f>IF(AB122="完了",1,0)</f>
        <v>0</v>
      </c>
      <c r="AB122" s="63" t="s">
        <v>250</v>
      </c>
      <c r="AC122" s="63">
        <f>AM122/IF(AL122+AM122=0,1,AL122+AM122)</f>
        <v>0</v>
      </c>
      <c r="AD122" s="71"/>
      <c r="AE122" s="63">
        <v>1</v>
      </c>
      <c r="AF122" s="63" t="s">
        <v>234</v>
      </c>
      <c r="AG122" s="63" t="s">
        <v>234</v>
      </c>
      <c r="AH122" s="73"/>
      <c r="AI122" s="63"/>
      <c r="AJ122" s="63"/>
      <c r="AK122" s="63"/>
      <c r="AL122" s="63"/>
      <c r="AM122" s="63"/>
      <c r="AN122" s="63"/>
      <c r="AO122" s="63"/>
      <c r="AP122" s="63" t="s">
        <v>234</v>
      </c>
      <c r="AQ122" s="63" t="s">
        <v>234</v>
      </c>
    </row>
    <row r="123" spans="2:43" ht="18" customHeight="1">
      <c r="B123" s="63"/>
      <c r="C123" s="63" t="s">
        <v>257</v>
      </c>
      <c r="D123" s="63" t="s">
        <v>257</v>
      </c>
      <c r="E123" s="63">
        <v>1</v>
      </c>
      <c r="F123" s="63">
        <v>2</v>
      </c>
      <c r="G123" s="63">
        <v>2</v>
      </c>
      <c r="H123" s="63">
        <v>2</v>
      </c>
      <c r="I123" s="63"/>
      <c r="J123" s="63">
        <v>3</v>
      </c>
      <c r="K123" s="72" t="str">
        <f t="shared" si="8"/>
        <v>001.002.002.002.---.003</v>
      </c>
      <c r="L123" s="72">
        <f t="shared" si="9"/>
        <v>1</v>
      </c>
      <c r="M123" s="72">
        <f t="shared" si="10"/>
        <v>4</v>
      </c>
      <c r="N123" s="72" t="b">
        <f t="shared" si="11"/>
        <v>1</v>
      </c>
      <c r="O123" s="72" t="b">
        <f t="shared" si="12"/>
        <v>1</v>
      </c>
      <c r="P123" s="72" t="b">
        <f t="shared" si="13"/>
        <v>1</v>
      </c>
      <c r="Q123" s="72" t="b">
        <f t="shared" si="14"/>
        <v>0</v>
      </c>
      <c r="R123" s="72" t="str">
        <f t="shared" si="15"/>
        <v>1.2.2.2.T3</v>
      </c>
      <c r="X123" s="60" t="s">
        <v>251</v>
      </c>
      <c r="Z123" s="63">
        <v>1</v>
      </c>
      <c r="AA123" s="63">
        <f>IF(AB123="完了",1,0)</f>
        <v>0</v>
      </c>
      <c r="AB123" s="63" t="s">
        <v>234</v>
      </c>
      <c r="AC123" s="63">
        <f>AM123/IF(AL123+AM123=0,1,AL123+AM123)</f>
        <v>0</v>
      </c>
      <c r="AD123" s="71"/>
      <c r="AE123" s="63">
        <v>1</v>
      </c>
      <c r="AF123" s="63" t="s">
        <v>234</v>
      </c>
      <c r="AG123" s="63" t="s">
        <v>234</v>
      </c>
      <c r="AH123" s="73"/>
      <c r="AI123" s="63"/>
      <c r="AJ123" s="63"/>
      <c r="AK123" s="63"/>
      <c r="AL123" s="63"/>
      <c r="AM123" s="63"/>
      <c r="AN123" s="63"/>
      <c r="AO123" s="63"/>
      <c r="AP123" s="63" t="s">
        <v>234</v>
      </c>
      <c r="AQ123" s="63" t="s">
        <v>234</v>
      </c>
    </row>
    <row r="124" spans="2:43" ht="18" customHeight="1">
      <c r="B124" s="63"/>
      <c r="C124" s="63" t="s">
        <v>257</v>
      </c>
      <c r="D124" s="63" t="s">
        <v>257</v>
      </c>
      <c r="E124" s="63">
        <v>1</v>
      </c>
      <c r="F124" s="63">
        <v>2</v>
      </c>
      <c r="G124" s="63">
        <v>2</v>
      </c>
      <c r="H124" s="63">
        <v>2</v>
      </c>
      <c r="I124" s="63">
        <v>1</v>
      </c>
      <c r="J124" s="63"/>
      <c r="K124" s="72" t="str">
        <f t="shared" si="8"/>
        <v>001.002.002.002.001.---</v>
      </c>
      <c r="L124" s="72">
        <f t="shared" si="9"/>
        <v>1</v>
      </c>
      <c r="M124" s="72">
        <f t="shared" si="10"/>
        <v>5</v>
      </c>
      <c r="N124" s="72" t="b">
        <f t="shared" si="11"/>
        <v>0</v>
      </c>
      <c r="O124" s="72" t="b">
        <f t="shared" si="12"/>
        <v>1</v>
      </c>
      <c r="P124" s="72" t="b">
        <f t="shared" si="13"/>
        <v>1</v>
      </c>
      <c r="Q124" s="72" t="b">
        <f t="shared" si="14"/>
        <v>1</v>
      </c>
      <c r="R124" s="72" t="str">
        <f t="shared" si="15"/>
        <v>1.2.2.2.1</v>
      </c>
      <c r="W124" s="60" t="s">
        <v>252</v>
      </c>
      <c r="Z124" s="63">
        <f>SUM(_xlfn._xlws.FILTER(Z8:Z218,(E8:E218=E124)*(F8:F218=F124)*(G8:G218=G124)*(H8:H218=H124)*(I8:I218=I124)*(N8:N218=TRUE)*(O8:O218=TRUE),0))</f>
        <v>3</v>
      </c>
      <c r="AA124" s="63">
        <f>SUM(_xlfn._xlws.FILTER(AA8:AA218,(E8:E218=E124)*(F8:F218=F124)*(G8:G218=G124)*(H8:H218=H124)*(I8:I218=I124)*(N8:N218=TRUE)*(O8:O218=TRUE),0))</f>
        <v>0</v>
      </c>
      <c r="AB124" s="63" t="s">
        <v>234</v>
      </c>
      <c r="AC124" s="63">
        <f>SUM(_xlfn._xlws.FILTER(AC8:AC218,(E8:E218=E124)*(F8:F218=F124)*(G8:G218=G124)*(H8:H218=H124)*(I8:I218=I124)*(N8:N218=TRUE)*(O8:O218=TRUE),0))/IF(IFERROR(COUNT(_xlfn._xlws.FILTER(AC8:AC218,(E8:E218=E124)*(F8:F218=F124)*(G8:G218=G124)*(H8:H218=H124)*(I8:I218=I124)*(N8:N218=TRUE)*(O8:O218=TRUE))),0)=0,1,IFERROR(COUNT(_xlfn._xlws.FILTER(AC8:AC218,(E8:E218=E124)*(F8:F218=F124)*(G8:G218=G124)*(H8:H218=H124)*(I8:I218=I124)*(N8:N218=TRUE)*(O8:O218=TRUE))),0))</f>
        <v>0</v>
      </c>
      <c r="AD124" s="71">
        <f>SUM(_xlfn._xlws.FILTER(AD8:AD218*(AE8:AE218),(E8:E218=E124)*(F8:F218=F124)*(G8:G218=G124)*(H8:H218=H124)*(I8:I218=I124)*(N8:N218=TRUE)*(O8:O218=TRUE),0))/IF(SUM(_xlfn._xlws.FILTER(AE8:AE218,(E8:E218=E124)*(F8:F218=F124)*(G8:G218=G124)*(H8:H218=H124)*(I8:I218=I124)*(N8:N218=TRUE)*(O8:O218=TRUE),0))=0,1,SUM(_xlfn._xlws.FILTER(AE8:AE218,(E8:E218=E124)*(F8:F218=F124)*(G8:G218=G124)*(H8:H218=H124)*(I8:I218=I124)*(N8:N218=TRUE)*(O8:O218=TRUE),0)))</f>
        <v>0</v>
      </c>
      <c r="AE124" s="63">
        <v>1</v>
      </c>
      <c r="AF124" s="63" t="s">
        <v>234</v>
      </c>
      <c r="AG124" s="63" t="s">
        <v>234</v>
      </c>
      <c r="AH124" s="73"/>
      <c r="AI124" s="63">
        <f>SUM(_xlfn._xlws.FILTER(AI8:AI218,(E8:E218=E124)*(F8:F218=F124)*(G8:G218=G124)*(H8:H218=H124)*(I8:I218=I124)*(N8:N218=TRUE)*(O8:O218=TRUE),0))</f>
        <v>0</v>
      </c>
      <c r="AJ124" s="63"/>
      <c r="AK124" s="63"/>
      <c r="AL124" s="63">
        <f>SUM(_xlfn._xlws.FILTER(AL8:AL218,(E8:E218=E124)*(F8:F218=F124)*(G8:G218=G124)*(H8:H218=H124)*(I8:I218=I124)*(N8:N218=TRUE)*(O8:O218=TRUE),0))</f>
        <v>0</v>
      </c>
      <c r="AM124" s="63">
        <f>SUM(_xlfn._xlws.FILTER(AM8:AM218,(E8:E218=E124)*(F8:F218=F124)*(G8:G218=G124)*(H8:H218=H124)*(I8:I218=I124)*(N8:N218=TRUE)*(O8:O218=TRUE),0))</f>
        <v>0</v>
      </c>
      <c r="AN124" s="63"/>
      <c r="AO124" s="63"/>
      <c r="AP124" s="63" t="s">
        <v>234</v>
      </c>
      <c r="AQ124" s="63" t="s">
        <v>234</v>
      </c>
    </row>
    <row r="125" spans="2:43" ht="18" customHeight="1">
      <c r="B125" s="63"/>
      <c r="C125" s="63" t="s">
        <v>257</v>
      </c>
      <c r="D125" s="63" t="s">
        <v>257</v>
      </c>
      <c r="E125" s="63">
        <v>1</v>
      </c>
      <c r="F125" s="63">
        <v>2</v>
      </c>
      <c r="G125" s="63">
        <v>2</v>
      </c>
      <c r="H125" s="63">
        <v>2</v>
      </c>
      <c r="I125" s="63">
        <v>1</v>
      </c>
      <c r="J125" s="63">
        <v>1</v>
      </c>
      <c r="K125" s="72" t="str">
        <f t="shared" si="8"/>
        <v>001.002.002.002.001.001</v>
      </c>
      <c r="L125" s="72">
        <f t="shared" si="9"/>
        <v>1</v>
      </c>
      <c r="M125" s="72">
        <f t="shared" si="10"/>
        <v>5</v>
      </c>
      <c r="N125" s="72" t="b">
        <f t="shared" si="11"/>
        <v>1</v>
      </c>
      <c r="O125" s="72" t="b">
        <f t="shared" si="12"/>
        <v>1</v>
      </c>
      <c r="P125" s="72" t="b">
        <f t="shared" si="13"/>
        <v>1</v>
      </c>
      <c r="Q125" s="72" t="b">
        <f t="shared" si="14"/>
        <v>0</v>
      </c>
      <c r="R125" s="72" t="str">
        <f t="shared" si="15"/>
        <v>1.2.2.2.1.T1</v>
      </c>
      <c r="X125" s="60" t="s">
        <v>253</v>
      </c>
      <c r="Z125" s="63">
        <v>1</v>
      </c>
      <c r="AA125" s="63">
        <f>IF(AB125="完了",1,0)</f>
        <v>0</v>
      </c>
      <c r="AB125" s="63" t="s">
        <v>234</v>
      </c>
      <c r="AC125" s="63">
        <f>AM125/IF(AL125+AM125=0,1,AL125+AM125)</f>
        <v>0</v>
      </c>
      <c r="AD125" s="71"/>
      <c r="AE125" s="63">
        <v>1</v>
      </c>
      <c r="AF125" s="63" t="s">
        <v>234</v>
      </c>
      <c r="AG125" s="63" t="s">
        <v>234</v>
      </c>
      <c r="AH125" s="73"/>
      <c r="AI125" s="63"/>
      <c r="AJ125" s="63"/>
      <c r="AK125" s="63"/>
      <c r="AL125" s="63"/>
      <c r="AM125" s="63"/>
      <c r="AN125" s="63"/>
      <c r="AO125" s="63"/>
      <c r="AP125" s="63" t="s">
        <v>234</v>
      </c>
      <c r="AQ125" s="63" t="s">
        <v>234</v>
      </c>
    </row>
    <row r="126" spans="2:43" ht="18" customHeight="1">
      <c r="B126" s="63"/>
      <c r="C126" s="63" t="s">
        <v>257</v>
      </c>
      <c r="D126" s="63" t="s">
        <v>257</v>
      </c>
      <c r="E126" s="63">
        <v>1</v>
      </c>
      <c r="F126" s="63">
        <v>2</v>
      </c>
      <c r="G126" s="63">
        <v>2</v>
      </c>
      <c r="H126" s="63">
        <v>2</v>
      </c>
      <c r="I126" s="63">
        <v>1</v>
      </c>
      <c r="J126" s="63">
        <v>2</v>
      </c>
      <c r="K126" s="72" t="str">
        <f t="shared" si="8"/>
        <v>001.002.002.002.001.002</v>
      </c>
      <c r="L126" s="72">
        <f t="shared" si="9"/>
        <v>1</v>
      </c>
      <c r="M126" s="72">
        <f t="shared" si="10"/>
        <v>5</v>
      </c>
      <c r="N126" s="72" t="b">
        <f t="shared" si="11"/>
        <v>1</v>
      </c>
      <c r="O126" s="72" t="b">
        <f t="shared" si="12"/>
        <v>1</v>
      </c>
      <c r="P126" s="72" t="b">
        <f t="shared" si="13"/>
        <v>1</v>
      </c>
      <c r="Q126" s="72" t="b">
        <f t="shared" si="14"/>
        <v>0</v>
      </c>
      <c r="R126" s="72" t="str">
        <f t="shared" si="15"/>
        <v>1.2.2.2.1.T2</v>
      </c>
      <c r="X126" s="60" t="s">
        <v>254</v>
      </c>
      <c r="Z126" s="63">
        <v>1</v>
      </c>
      <c r="AA126" s="63">
        <f>IF(AB126="完了",1,0)</f>
        <v>0</v>
      </c>
      <c r="AB126" s="63" t="s">
        <v>234</v>
      </c>
      <c r="AC126" s="63">
        <f>AM126/IF(AL126+AM126=0,1,AL126+AM126)</f>
        <v>0</v>
      </c>
      <c r="AD126" s="71"/>
      <c r="AE126" s="63">
        <v>1</v>
      </c>
      <c r="AF126" s="63" t="s">
        <v>234</v>
      </c>
      <c r="AG126" s="63" t="s">
        <v>234</v>
      </c>
      <c r="AH126" s="73"/>
      <c r="AI126" s="63"/>
      <c r="AJ126" s="63"/>
      <c r="AK126" s="63"/>
      <c r="AL126" s="63"/>
      <c r="AM126" s="63"/>
      <c r="AN126" s="63"/>
      <c r="AO126" s="63"/>
      <c r="AP126" s="63" t="s">
        <v>234</v>
      </c>
      <c r="AQ126" s="63" t="s">
        <v>234</v>
      </c>
    </row>
    <row r="127" spans="2:43" ht="18" customHeight="1">
      <c r="B127" s="63"/>
      <c r="C127" s="63" t="s">
        <v>257</v>
      </c>
      <c r="D127" s="63" t="s">
        <v>257</v>
      </c>
      <c r="E127" s="63">
        <v>1</v>
      </c>
      <c r="F127" s="63">
        <v>2</v>
      </c>
      <c r="G127" s="63">
        <v>2</v>
      </c>
      <c r="H127" s="63">
        <v>2</v>
      </c>
      <c r="I127" s="63">
        <v>1</v>
      </c>
      <c r="J127" s="63">
        <v>3</v>
      </c>
      <c r="K127" s="72" t="str">
        <f t="shared" si="8"/>
        <v>001.002.002.002.001.003</v>
      </c>
      <c r="L127" s="72">
        <f t="shared" si="9"/>
        <v>1</v>
      </c>
      <c r="M127" s="72">
        <f t="shared" si="10"/>
        <v>5</v>
      </c>
      <c r="N127" s="72" t="b">
        <f t="shared" si="11"/>
        <v>1</v>
      </c>
      <c r="O127" s="72" t="b">
        <f t="shared" si="12"/>
        <v>1</v>
      </c>
      <c r="P127" s="72" t="b">
        <f t="shared" si="13"/>
        <v>1</v>
      </c>
      <c r="Q127" s="72" t="b">
        <f t="shared" si="14"/>
        <v>0</v>
      </c>
      <c r="R127" s="72" t="str">
        <f t="shared" si="15"/>
        <v>1.2.2.2.1.T3</v>
      </c>
      <c r="Z127" s="63">
        <v>1</v>
      </c>
      <c r="AA127" s="63">
        <f>IF(AB127="完了",1,0)</f>
        <v>0</v>
      </c>
      <c r="AB127" s="63" t="s">
        <v>234</v>
      </c>
      <c r="AC127" s="63">
        <f>AM127/IF(AL127+AM127=0,1,AL127+AM127)</f>
        <v>0</v>
      </c>
      <c r="AD127" s="71"/>
      <c r="AE127" s="63">
        <v>1</v>
      </c>
      <c r="AF127" s="63" t="s">
        <v>234</v>
      </c>
      <c r="AG127" s="63" t="s">
        <v>234</v>
      </c>
      <c r="AH127" s="73"/>
      <c r="AI127" s="63"/>
      <c r="AJ127" s="63"/>
      <c r="AK127" s="63"/>
      <c r="AL127" s="63"/>
      <c r="AM127" s="63"/>
      <c r="AN127" s="63"/>
      <c r="AO127" s="63"/>
      <c r="AP127" s="63" t="s">
        <v>234</v>
      </c>
      <c r="AQ127" s="63" t="s">
        <v>234</v>
      </c>
    </row>
    <row r="128" spans="2:43" ht="18" customHeight="1">
      <c r="B128" s="63"/>
      <c r="C128" s="63" t="s">
        <v>257</v>
      </c>
      <c r="D128" s="63" t="s">
        <v>257</v>
      </c>
      <c r="E128" s="63">
        <v>1</v>
      </c>
      <c r="F128" s="63">
        <v>2</v>
      </c>
      <c r="G128" s="63">
        <v>2</v>
      </c>
      <c r="H128" s="63">
        <v>2</v>
      </c>
      <c r="I128" s="63">
        <v>2</v>
      </c>
      <c r="J128" s="63"/>
      <c r="K128" s="72" t="str">
        <f t="shared" si="8"/>
        <v>001.002.002.002.002.---</v>
      </c>
      <c r="L128" s="72">
        <f t="shared" si="9"/>
        <v>1</v>
      </c>
      <c r="M128" s="72">
        <f t="shared" si="10"/>
        <v>5</v>
      </c>
      <c r="N128" s="72" t="b">
        <f t="shared" si="11"/>
        <v>0</v>
      </c>
      <c r="O128" s="72" t="b">
        <f t="shared" si="12"/>
        <v>1</v>
      </c>
      <c r="P128" s="72" t="b">
        <f t="shared" si="13"/>
        <v>1</v>
      </c>
      <c r="Q128" s="72" t="b">
        <f t="shared" si="14"/>
        <v>1</v>
      </c>
      <c r="R128" s="72" t="str">
        <f t="shared" si="15"/>
        <v>1.2.2.2.2</v>
      </c>
      <c r="Z128" s="63">
        <f>SUM(_xlfn._xlws.FILTER(Z8:Z218,(E8:E218=E128)*(F8:F218=F128)*(G8:G218=G128)*(H8:H218=H128)*(I8:I218=I128)*(N8:N218=TRUE)*(O8:O218=TRUE),0))</f>
        <v>3</v>
      </c>
      <c r="AA128" s="63">
        <f>SUM(_xlfn._xlws.FILTER(AA8:AA218,(E8:E218=E128)*(F8:F218=F128)*(G8:G218=G128)*(H8:H218=H128)*(I8:I218=I128)*(N8:N218=TRUE)*(O8:O218=TRUE),0))</f>
        <v>0</v>
      </c>
      <c r="AB128" s="63" t="s">
        <v>234</v>
      </c>
      <c r="AC128" s="63">
        <f>SUM(_xlfn._xlws.FILTER(AC8:AC218,(E8:E218=E128)*(F8:F218=F128)*(G8:G218=G128)*(H8:H218=H128)*(I8:I218=I128)*(N8:N218=TRUE)*(O8:O218=TRUE),0))/IF(IFERROR(COUNT(_xlfn._xlws.FILTER(AC8:AC218,(E8:E218=E128)*(F8:F218=F128)*(G8:G218=G128)*(H8:H218=H128)*(I8:I218=I128)*(N8:N218=TRUE)*(O8:O218=TRUE))),0)=0,1,IFERROR(COUNT(_xlfn._xlws.FILTER(AC8:AC218,(E8:E218=E128)*(F8:F218=F128)*(G8:G218=G128)*(H8:H218=H128)*(I8:I218=I128)*(N8:N218=TRUE)*(O8:O218=TRUE))),0))</f>
        <v>0</v>
      </c>
      <c r="AD128" s="71">
        <f>SUM(_xlfn._xlws.FILTER(AD8:AD218*(AE8:AE218),(E8:E218=E128)*(F8:F218=F128)*(G8:G218=G128)*(H8:H218=H128)*(I8:I218=I128)*(N8:N218=TRUE)*(O8:O218=TRUE),0))/IF(SUM(_xlfn._xlws.FILTER(AE8:AE218,(E8:E218=E128)*(F8:F218=F128)*(G8:G218=G128)*(H8:H218=H128)*(I8:I218=I128)*(N8:N218=TRUE)*(O8:O218=TRUE),0))=0,1,SUM(_xlfn._xlws.FILTER(AE8:AE218,(E8:E218=E128)*(F8:F218=F128)*(G8:G218=G128)*(H8:H218=H128)*(I8:I218=I128)*(N8:N218=TRUE)*(O8:O218=TRUE),0)))</f>
        <v>0</v>
      </c>
      <c r="AE128" s="63">
        <v>1</v>
      </c>
      <c r="AF128" s="63" t="s">
        <v>234</v>
      </c>
      <c r="AG128" s="63" t="s">
        <v>234</v>
      </c>
      <c r="AH128" s="73"/>
      <c r="AI128" s="63">
        <f>SUM(_xlfn._xlws.FILTER(AI8:AI218,(E8:E218=E128)*(F8:F218=F128)*(G8:G218=G128)*(H8:H218=H128)*(I8:I218=I128)*(N8:N218=TRUE)*(O8:O218=TRUE),0))</f>
        <v>0</v>
      </c>
      <c r="AJ128" s="63"/>
      <c r="AK128" s="63"/>
      <c r="AL128" s="63">
        <f>SUM(_xlfn._xlws.FILTER(AL8:AL218,(E8:E218=E128)*(F8:F218=F128)*(G8:G218=G128)*(H8:H218=H128)*(I8:I218=I128)*(N8:N218=TRUE)*(O8:O218=TRUE),0))</f>
        <v>0</v>
      </c>
      <c r="AM128" s="63">
        <f>SUM(_xlfn._xlws.FILTER(AM8:AM218,(E8:E218=E128)*(F8:F218=F128)*(G8:G218=G128)*(H8:H218=H128)*(I8:I218=I128)*(N8:N218=TRUE)*(O8:O218=TRUE),0))</f>
        <v>0</v>
      </c>
      <c r="AN128" s="63"/>
      <c r="AO128" s="63"/>
      <c r="AP128" s="63" t="s">
        <v>234</v>
      </c>
      <c r="AQ128" s="63" t="s">
        <v>234</v>
      </c>
    </row>
    <row r="129" spans="2:43" ht="18" customHeight="1">
      <c r="B129" s="63"/>
      <c r="C129" s="63" t="s">
        <v>257</v>
      </c>
      <c r="D129" s="63" t="s">
        <v>257</v>
      </c>
      <c r="E129" s="63">
        <v>1</v>
      </c>
      <c r="F129" s="63">
        <v>2</v>
      </c>
      <c r="G129" s="63">
        <v>2</v>
      </c>
      <c r="H129" s="63">
        <v>2</v>
      </c>
      <c r="I129" s="63">
        <v>2</v>
      </c>
      <c r="J129" s="63">
        <v>1</v>
      </c>
      <c r="K129" s="72" t="str">
        <f t="shared" si="8"/>
        <v>001.002.002.002.002.001</v>
      </c>
      <c r="L129" s="72">
        <f t="shared" si="9"/>
        <v>1</v>
      </c>
      <c r="M129" s="72">
        <f t="shared" si="10"/>
        <v>5</v>
      </c>
      <c r="N129" s="72" t="b">
        <f t="shared" si="11"/>
        <v>1</v>
      </c>
      <c r="O129" s="72" t="b">
        <f t="shared" si="12"/>
        <v>1</v>
      </c>
      <c r="P129" s="72" t="b">
        <f t="shared" si="13"/>
        <v>1</v>
      </c>
      <c r="Q129" s="72" t="b">
        <f t="shared" si="14"/>
        <v>0</v>
      </c>
      <c r="R129" s="72" t="str">
        <f t="shared" si="15"/>
        <v>1.2.2.2.2.T1</v>
      </c>
      <c r="X129" s="60" t="s">
        <v>253</v>
      </c>
      <c r="Z129" s="63">
        <v>1</v>
      </c>
      <c r="AA129" s="63">
        <f>IF(AB129="完了",1,0)</f>
        <v>0</v>
      </c>
      <c r="AB129" s="63" t="s">
        <v>234</v>
      </c>
      <c r="AC129" s="63">
        <f>AM129/IF(AL129+AM129=0,1,AL129+AM129)</f>
        <v>0</v>
      </c>
      <c r="AD129" s="71"/>
      <c r="AE129" s="63">
        <v>1</v>
      </c>
      <c r="AF129" s="63" t="s">
        <v>234</v>
      </c>
      <c r="AG129" s="63" t="s">
        <v>234</v>
      </c>
      <c r="AH129" s="73"/>
      <c r="AI129" s="63"/>
      <c r="AJ129" s="63"/>
      <c r="AK129" s="63"/>
      <c r="AL129" s="63"/>
      <c r="AM129" s="63"/>
      <c r="AN129" s="63"/>
      <c r="AO129" s="63"/>
      <c r="AP129" s="63" t="s">
        <v>234</v>
      </c>
      <c r="AQ129" s="63" t="s">
        <v>234</v>
      </c>
    </row>
    <row r="130" spans="2:43" ht="18" customHeight="1">
      <c r="B130" s="63"/>
      <c r="C130" s="63" t="s">
        <v>257</v>
      </c>
      <c r="D130" s="63" t="s">
        <v>257</v>
      </c>
      <c r="E130" s="63">
        <v>1</v>
      </c>
      <c r="F130" s="63">
        <v>2</v>
      </c>
      <c r="G130" s="63">
        <v>2</v>
      </c>
      <c r="H130" s="63">
        <v>2</v>
      </c>
      <c r="I130" s="63">
        <v>2</v>
      </c>
      <c r="J130" s="63">
        <v>2</v>
      </c>
      <c r="K130" s="72" t="str">
        <f t="shared" si="8"/>
        <v>001.002.002.002.002.002</v>
      </c>
      <c r="L130" s="72">
        <f t="shared" si="9"/>
        <v>1</v>
      </c>
      <c r="M130" s="72">
        <f t="shared" si="10"/>
        <v>5</v>
      </c>
      <c r="N130" s="72" t="b">
        <f t="shared" si="11"/>
        <v>1</v>
      </c>
      <c r="O130" s="72" t="b">
        <f t="shared" si="12"/>
        <v>1</v>
      </c>
      <c r="P130" s="72" t="b">
        <f t="shared" si="13"/>
        <v>1</v>
      </c>
      <c r="Q130" s="72" t="b">
        <f t="shared" si="14"/>
        <v>0</v>
      </c>
      <c r="R130" s="72" t="str">
        <f t="shared" si="15"/>
        <v>1.2.2.2.2.T2</v>
      </c>
      <c r="X130" s="60" t="s">
        <v>254</v>
      </c>
      <c r="Z130" s="63">
        <v>1</v>
      </c>
      <c r="AA130" s="63">
        <f>IF(AB130="完了",1,0)</f>
        <v>0</v>
      </c>
      <c r="AB130" s="63" t="s">
        <v>234</v>
      </c>
      <c r="AC130" s="63">
        <f>AM130/IF(AL130+AM130=0,1,AL130+AM130)</f>
        <v>0</v>
      </c>
      <c r="AD130" s="71"/>
      <c r="AE130" s="63">
        <v>1</v>
      </c>
      <c r="AF130" s="63" t="s">
        <v>234</v>
      </c>
      <c r="AG130" s="63" t="s">
        <v>234</v>
      </c>
      <c r="AH130" s="73"/>
      <c r="AI130" s="63"/>
      <c r="AJ130" s="63"/>
      <c r="AK130" s="63"/>
      <c r="AL130" s="63"/>
      <c r="AM130" s="63"/>
      <c r="AN130" s="63"/>
      <c r="AO130" s="63"/>
      <c r="AP130" s="63" t="s">
        <v>234</v>
      </c>
      <c r="AQ130" s="63" t="s">
        <v>234</v>
      </c>
    </row>
    <row r="131" spans="2:43" ht="18" customHeight="1">
      <c r="B131" s="63"/>
      <c r="C131" s="63" t="s">
        <v>257</v>
      </c>
      <c r="D131" s="63" t="s">
        <v>257</v>
      </c>
      <c r="E131" s="63">
        <v>1</v>
      </c>
      <c r="F131" s="63">
        <v>2</v>
      </c>
      <c r="G131" s="63">
        <v>2</v>
      </c>
      <c r="H131" s="63">
        <v>2</v>
      </c>
      <c r="I131" s="63">
        <v>2</v>
      </c>
      <c r="J131" s="63">
        <v>3</v>
      </c>
      <c r="K131" s="72" t="str">
        <f t="shared" si="8"/>
        <v>001.002.002.002.002.003</v>
      </c>
      <c r="L131" s="72">
        <f t="shared" si="9"/>
        <v>1</v>
      </c>
      <c r="M131" s="72">
        <f t="shared" si="10"/>
        <v>5</v>
      </c>
      <c r="N131" s="72" t="b">
        <f t="shared" si="11"/>
        <v>1</v>
      </c>
      <c r="O131" s="72" t="b">
        <f t="shared" si="12"/>
        <v>1</v>
      </c>
      <c r="P131" s="72" t="b">
        <f t="shared" si="13"/>
        <v>1</v>
      </c>
      <c r="Q131" s="72" t="b">
        <f t="shared" si="14"/>
        <v>0</v>
      </c>
      <c r="R131" s="72" t="str">
        <f t="shared" si="15"/>
        <v>1.2.2.2.2.T3</v>
      </c>
      <c r="Z131" s="63">
        <v>1</v>
      </c>
      <c r="AA131" s="63">
        <f>IF(AB131="完了",1,0)</f>
        <v>0</v>
      </c>
      <c r="AB131" s="63" t="s">
        <v>234</v>
      </c>
      <c r="AC131" s="63">
        <f>AM131/IF(AL131+AM131=0,1,AL131+AM131)</f>
        <v>0</v>
      </c>
      <c r="AD131" s="71"/>
      <c r="AE131" s="63">
        <v>1</v>
      </c>
      <c r="AF131" s="63" t="s">
        <v>234</v>
      </c>
      <c r="AG131" s="63" t="s">
        <v>234</v>
      </c>
      <c r="AH131" s="73"/>
      <c r="AI131" s="63"/>
      <c r="AJ131" s="63"/>
      <c r="AK131" s="63"/>
      <c r="AL131" s="63"/>
      <c r="AM131" s="63"/>
      <c r="AN131" s="63"/>
      <c r="AO131" s="63"/>
      <c r="AP131" s="63" t="s">
        <v>234</v>
      </c>
      <c r="AQ131" s="63" t="s">
        <v>234</v>
      </c>
    </row>
    <row r="132" spans="2:43" ht="18" customHeight="1">
      <c r="B132" s="63"/>
      <c r="C132" s="63" t="s">
        <v>257</v>
      </c>
      <c r="D132" s="63" t="s">
        <v>257</v>
      </c>
      <c r="E132" s="63">
        <v>2</v>
      </c>
      <c r="F132" s="63"/>
      <c r="G132" s="63"/>
      <c r="H132" s="63"/>
      <c r="I132" s="63"/>
      <c r="J132" s="63"/>
      <c r="K132" s="72" t="str">
        <f t="shared" si="8"/>
        <v>002.---.---.---.---.---</v>
      </c>
      <c r="L132" s="72">
        <f t="shared" si="9"/>
        <v>1</v>
      </c>
      <c r="M132" s="72">
        <f t="shared" si="10"/>
        <v>1</v>
      </c>
      <c r="N132" s="72" t="b">
        <f t="shared" si="11"/>
        <v>0</v>
      </c>
      <c r="O132" s="72" t="b">
        <f t="shared" si="12"/>
        <v>1</v>
      </c>
      <c r="P132" s="72" t="b">
        <f t="shared" si="13"/>
        <v>1</v>
      </c>
      <c r="Q132" s="72" t="b">
        <f t="shared" si="14"/>
        <v>1</v>
      </c>
      <c r="R132" s="72" t="str">
        <f t="shared" si="15"/>
        <v>2</v>
      </c>
      <c r="Z132" s="63">
        <f>SUM(_xlfn._xlws.FILTER(Z8:Z218,(E8:E218=E132)*(ISNUMBER(F8:F218))*(G8:G218="")*(H8:H218="")*(I8:I218="")*(N8:N218=FALSE)*(O8:O218=TRUE),0))+SUM(_xlfn._xlws.FILTER(Z8:Z218,(E8:E218=E132)*(F8:F218="")*(G8:G218="")*(H8:H218="")*(I8:I218="")*(N8:N218=TRUE)*(O8:O218=TRUE),0))</f>
        <v>57</v>
      </c>
      <c r="AA132" s="63">
        <f>SUM(_xlfn._xlws.FILTER(AA8:AA218,(E8:E218=E132)*(ISNUMBER(F8:F218))*(G8:G218="")*(H8:H218="")*(I8:I218="")*(N8:N218=FALSE)*(O8:O218=TRUE),0))+SUM(_xlfn._xlws.FILTER(AA8:AA218,(E8:E218=E132)*(F8:F218="")*(G8:G218="")*(H8:H218="")*(I8:I218="")*(N8:N218=TRUE)*(O8:O218=TRUE),0))</f>
        <v>6</v>
      </c>
      <c r="AB132" s="63" t="s">
        <v>234</v>
      </c>
      <c r="AC132" s="63">
        <f>(SUM(_xlfn._xlws.FILTER(AC8:AC218,(E8:E218=E132)*(ISNUMBER(F8:F218))*(G8:G218="")*(H8:H218="")*(I8:I218="")*(N8:N218=FALSE)*(O8:O218=TRUE),0))+SUM(_xlfn._xlws.FILTER(AC8:AC218,(E8:E218=E132)*(F8:F218="")*(G8:G218="")*(H8:H218="")*(I8:I218="")*(N8:N218=TRUE)*(O8:O218=TRUE),0)))/IF(IFERROR(COUNT(_xlfn._xlws.FILTER(AC8:AC218,(E8:E218=E132)*(ISNUMBER(F8:F218))*(G8:G218="")*(H8:H218="")*(I8:I218="")*(N8:N218=FALSE)*(O8:O218=TRUE))),0)+IFERROR(COUNT(_xlfn._xlws.FILTER(AC8:AC218,(E8:E218=E132)*(F8:F218="")*(G8:G218="")*(H8:H218="")*(I8:I218="")*(N8:N218=TRUE)*(O8:O218=TRUE))),0)=0,1,IFERROR(COUNT(_xlfn._xlws.FILTER(AC8:AC218,(E8:E218=E132)*(ISNUMBER(F8:F218))*(G8:G218="")*(H8:H218="")*(I8:I218="")*(N8:N218=FALSE)*(O8:O218=TRUE))),0)+IFERROR(COUNT(_xlfn._xlws.FILTER(AC8:AC218,(E8:E218=E132)*(F8:F218="")*(G8:G218="")*(H8:H218="")*(I8:I218="")*(N8:N218=TRUE)*(O8:O218=TRUE))),0))</f>
        <v>0</v>
      </c>
      <c r="AD132" s="71">
        <f>(SUM(_xlfn._xlws.FILTER(AD8:AD218*(AE8:AE218),(E8:E218=E132)*(ISNUMBER(F8:F218))*(G8:G218="")*(H8:H218="")*(I8:I218="")*(N8:N218=FALSE)*(O8:O218=TRUE),0))+SUM(_xlfn._xlws.FILTER(AD8:AD218*(AE8:AE218),(E8:E218=E132)*(F8:F218="")*(G8:G218="")*(H8:H218="")*(I8:I218="")*(N8:N218=TRUE)*(O8:O218=TRUE),0)))/IF(SUM(_xlfn._xlws.FILTER(AE8:AE218,(E8:E218=E132)*(ISNUMBER(F8:F218))*(G8:G218="")*(H8:H218="")*(I8:I218="")*(N8:N218=FALSE)*(O8:O218=TRUE),0))+SUM(_xlfn._xlws.FILTER(AE8:AE218,(E8:E218=E132)*(F8:F218="")*(G8:G218="")*(H8:H218="")*(I8:I218="")*(N8:N218=TRUE)*(O8:O218=TRUE),0))=0,1,SUM(_xlfn._xlws.FILTER(AE8:AE218,(E8:E218=E132)*(ISNUMBER(F8:F218))*(G8:G218="")*(H8:H218="")*(I8:I218="")*(N8:N218=FALSE)*(O8:O218=TRUE),0))+SUM(_xlfn._xlws.FILTER(AE8:AE218,(E8:E218=E132)*(F8:F218="")*(G8:G218="")*(H8:H218="")*(I8:I218="")*(N8:N218=TRUE)*(O8:O218=TRUE),0)))</f>
        <v>0</v>
      </c>
      <c r="AE132" s="63">
        <v>1</v>
      </c>
      <c r="AF132" s="63" t="s">
        <v>234</v>
      </c>
      <c r="AG132" s="63" t="s">
        <v>234</v>
      </c>
      <c r="AH132" s="73"/>
      <c r="AI132" s="63">
        <f>SUM(_xlfn._xlws.FILTER(AI8:AI218,(E8:E218=E132)*(ISNUMBER(F8:F218))*(G8:G218="")*(H8:H218="")*(I8:I218="")*(N8:N218=FALSE)*(O8:O218=TRUE),0))+SUM(_xlfn._xlws.FILTER(AI8:AI218,(E8:E218=E132)*(F8:F218="")*(G8:G218="")*(H8:H218="")*(I8:I218="")*(N8:N218=TRUE)*(O8:O218=TRUE),0))</f>
        <v>0</v>
      </c>
      <c r="AJ132" s="63"/>
      <c r="AK132" s="63"/>
      <c r="AL132" s="63">
        <f>SUM(_xlfn._xlws.FILTER(AL8:AL218,(E8:E218=E132)*(ISNUMBER(F8:F218))*(G8:G218="")*(H8:H218="")*(I8:I218="")*(N8:N218=FALSE)*(O8:O218=TRUE),0))+SUM(_xlfn._xlws.FILTER(AL8:AL218,(E8:E218=E132)*(F8:F218="")*(G8:G218="")*(H8:H218="")*(I8:I218="")*(N8:N218=TRUE)*(O8:O218=TRUE),0))</f>
        <v>0</v>
      </c>
      <c r="AM132" s="63">
        <f>SUM(_xlfn._xlws.FILTER(AM8:AM218,(E8:E218=E132)*(ISNUMBER(F8:F218))*(G8:G218="")*(H8:H218="")*(I8:I218="")*(N8:N218=FALSE)*(O8:O218=TRUE),0))+SUM(_xlfn._xlws.FILTER(AM8:AM218,(E8:E218=E132)*(F8:F218="")*(G8:G218="")*(H8:H218="")*(I8:I218="")*(N8:N218=TRUE)*(O8:O218=TRUE),0))</f>
        <v>0</v>
      </c>
      <c r="AN132" s="63"/>
      <c r="AO132" s="63"/>
      <c r="AP132" s="63" t="s">
        <v>234</v>
      </c>
      <c r="AQ132" s="63" t="s">
        <v>234</v>
      </c>
    </row>
    <row r="133" spans="2:43" ht="18" customHeight="1">
      <c r="B133" s="63"/>
      <c r="C133" s="63" t="s">
        <v>257</v>
      </c>
      <c r="D133" s="63" t="s">
        <v>257</v>
      </c>
      <c r="E133" s="63">
        <v>2</v>
      </c>
      <c r="F133" s="63"/>
      <c r="G133" s="63"/>
      <c r="H133" s="63"/>
      <c r="I133" s="63"/>
      <c r="J133" s="63">
        <v>1</v>
      </c>
      <c r="K133" s="72" t="str">
        <f t="shared" si="8"/>
        <v>002.---.---.---.---.001</v>
      </c>
      <c r="L133" s="72">
        <f t="shared" si="9"/>
        <v>1</v>
      </c>
      <c r="M133" s="72">
        <f t="shared" si="10"/>
        <v>1</v>
      </c>
      <c r="N133" s="72" t="b">
        <f t="shared" si="11"/>
        <v>1</v>
      </c>
      <c r="O133" s="72" t="b">
        <f t="shared" si="12"/>
        <v>0</v>
      </c>
      <c r="P133" s="72" t="b">
        <f t="shared" si="13"/>
        <v>1</v>
      </c>
      <c r="Q133" s="72" t="b">
        <f t="shared" si="14"/>
        <v>0</v>
      </c>
      <c r="R133" s="72" t="str">
        <f t="shared" si="15"/>
        <v>2.T1</v>
      </c>
      <c r="X133" s="60" t="s">
        <v>229</v>
      </c>
      <c r="Z133" s="63">
        <v>1</v>
      </c>
      <c r="AA133" s="63">
        <f>IF(AB133="完了",1,0)</f>
        <v>0</v>
      </c>
      <c r="AB133" s="63" t="s">
        <v>230</v>
      </c>
      <c r="AC133" s="63">
        <f>AM133/IF(AL133+AM133=0,1,AL133+AM133)</f>
        <v>0</v>
      </c>
      <c r="AD133" s="71"/>
      <c r="AE133" s="63">
        <v>1</v>
      </c>
      <c r="AF133" s="63" t="s">
        <v>234</v>
      </c>
      <c r="AG133" s="63" t="s">
        <v>234</v>
      </c>
      <c r="AH133" s="73"/>
      <c r="AI133" s="63"/>
      <c r="AJ133" s="63"/>
      <c r="AK133" s="63"/>
      <c r="AL133" s="63"/>
      <c r="AM133" s="63"/>
      <c r="AN133" s="63"/>
      <c r="AO133" s="63"/>
      <c r="AP133" s="63" t="s">
        <v>234</v>
      </c>
      <c r="AQ133" s="63" t="s">
        <v>234</v>
      </c>
    </row>
    <row r="134" spans="2:43" ht="18" customHeight="1">
      <c r="B134" s="63"/>
      <c r="C134" s="63" t="s">
        <v>257</v>
      </c>
      <c r="D134" s="63" t="s">
        <v>257</v>
      </c>
      <c r="E134" s="63">
        <v>2</v>
      </c>
      <c r="F134" s="63"/>
      <c r="G134" s="63"/>
      <c r="H134" s="63"/>
      <c r="I134" s="63"/>
      <c r="J134" s="63">
        <v>2</v>
      </c>
      <c r="K134" s="72" t="str">
        <f t="shared" si="8"/>
        <v>002.---.---.---.---.002</v>
      </c>
      <c r="L134" s="72">
        <f t="shared" si="9"/>
        <v>1</v>
      </c>
      <c r="M134" s="72">
        <f t="shared" si="10"/>
        <v>1</v>
      </c>
      <c r="N134" s="72" t="b">
        <f t="shared" si="11"/>
        <v>1</v>
      </c>
      <c r="O134" s="72" t="b">
        <f t="shared" si="12"/>
        <v>0</v>
      </c>
      <c r="P134" s="72" t="b">
        <f t="shared" si="13"/>
        <v>1</v>
      </c>
      <c r="Q134" s="72" t="b">
        <f t="shared" si="14"/>
        <v>0</v>
      </c>
      <c r="R134" s="72" t="str">
        <f t="shared" si="15"/>
        <v>2.T2</v>
      </c>
      <c r="X134" s="60" t="s">
        <v>231</v>
      </c>
      <c r="Z134" s="63">
        <v>1</v>
      </c>
      <c r="AA134" s="63">
        <f>IF(AB134="完了",1,0)</f>
        <v>0</v>
      </c>
      <c r="AB134" s="63" t="s">
        <v>232</v>
      </c>
      <c r="AC134" s="63">
        <f>AM134/IF(AL134+AM134=0,1,AL134+AM134)</f>
        <v>0</v>
      </c>
      <c r="AD134" s="71"/>
      <c r="AE134" s="63">
        <v>1</v>
      </c>
      <c r="AF134" s="63" t="s">
        <v>234</v>
      </c>
      <c r="AG134" s="63" t="s">
        <v>234</v>
      </c>
      <c r="AH134" s="73"/>
      <c r="AI134" s="63"/>
      <c r="AJ134" s="63"/>
      <c r="AK134" s="63"/>
      <c r="AL134" s="63"/>
      <c r="AM134" s="63"/>
      <c r="AN134" s="63"/>
      <c r="AO134" s="63"/>
      <c r="AP134" s="63" t="s">
        <v>234</v>
      </c>
      <c r="AQ134" s="63" t="s">
        <v>234</v>
      </c>
    </row>
    <row r="135" spans="2:43" ht="18" customHeight="1">
      <c r="B135" s="63"/>
      <c r="C135" s="63" t="s">
        <v>257</v>
      </c>
      <c r="D135" s="63" t="s">
        <v>257</v>
      </c>
      <c r="E135" s="63">
        <v>2</v>
      </c>
      <c r="F135" s="63"/>
      <c r="G135" s="63"/>
      <c r="H135" s="63"/>
      <c r="I135" s="63"/>
      <c r="J135" s="63">
        <v>3</v>
      </c>
      <c r="K135" s="72" t="str">
        <f t="shared" si="8"/>
        <v>002.---.---.---.---.003</v>
      </c>
      <c r="L135" s="72">
        <f t="shared" si="9"/>
        <v>1</v>
      </c>
      <c r="M135" s="72">
        <f t="shared" si="10"/>
        <v>1</v>
      </c>
      <c r="N135" s="72" t="b">
        <f t="shared" si="11"/>
        <v>1</v>
      </c>
      <c r="O135" s="72" t="b">
        <f t="shared" si="12"/>
        <v>1</v>
      </c>
      <c r="P135" s="72" t="b">
        <f t="shared" si="13"/>
        <v>1</v>
      </c>
      <c r="Q135" s="72" t="b">
        <f t="shared" si="14"/>
        <v>0</v>
      </c>
      <c r="R135" s="72" t="str">
        <f t="shared" si="15"/>
        <v>2.T3</v>
      </c>
      <c r="X135" s="60" t="s">
        <v>233</v>
      </c>
      <c r="Z135" s="63">
        <v>1</v>
      </c>
      <c r="AA135" s="63">
        <f>IF(AB135="完了",1,0)</f>
        <v>0</v>
      </c>
      <c r="AB135" s="63" t="s">
        <v>234</v>
      </c>
      <c r="AC135" s="63">
        <f>AM135/IF(AL135+AM135=0,1,AL135+AM135)</f>
        <v>0</v>
      </c>
      <c r="AD135" s="71"/>
      <c r="AE135" s="63">
        <v>1</v>
      </c>
      <c r="AF135" s="63" t="s">
        <v>234</v>
      </c>
      <c r="AG135" s="63" t="s">
        <v>234</v>
      </c>
      <c r="AH135" s="73"/>
      <c r="AI135" s="63"/>
      <c r="AJ135" s="63"/>
      <c r="AK135" s="63"/>
      <c r="AL135" s="63"/>
      <c r="AM135" s="63"/>
      <c r="AN135" s="63"/>
      <c r="AO135" s="63"/>
      <c r="AP135" s="63" t="s">
        <v>234</v>
      </c>
      <c r="AQ135" s="63" t="s">
        <v>234</v>
      </c>
    </row>
    <row r="136" spans="2:43" ht="18" customHeight="1">
      <c r="B136" s="63"/>
      <c r="C136" s="63" t="s">
        <v>257</v>
      </c>
      <c r="D136" s="63" t="s">
        <v>257</v>
      </c>
      <c r="E136" s="63">
        <v>2</v>
      </c>
      <c r="F136" s="63">
        <v>1</v>
      </c>
      <c r="G136" s="63"/>
      <c r="H136" s="63"/>
      <c r="I136" s="63"/>
      <c r="J136" s="63"/>
      <c r="K136" s="72" t="str">
        <f t="shared" ref="K136:K199" si="16">IF(B136="E","ERROR",IF(E136="","XXX.XXX.XXX.XXX.XXX.XXX", _xlfn.CONCAT(TEXT(E136,"000"),IF(F136="",".---", "." &amp; TEXT(F136,"000")),IF(G136="",".---", "." &amp; TEXT(G136,"000")),IF(H136="",".---", "." &amp; TEXT(H136,"000")),IF(I136="",".---", "." &amp; TEXT(I136,"000")),IF(J136="",".---", "." &amp; TEXT(J136,"000")))))</f>
        <v>002.001.---.---.---.---</v>
      </c>
      <c r="L136" s="72">
        <f t="shared" ref="L136:L199" si="17">COUNTIF(K$8:K$218,K136)</f>
        <v>1</v>
      </c>
      <c r="M136" s="72">
        <f t="shared" ref="M136:M199" si="18">IF(AND(ISNUMBER(E136),F136="",G136="",H136="",I136=""),1,IF(AND(ISNUMBER(E136),ISNUMBER(F136),G136="",H136="",I136=""),2,IF(AND(ISNUMBER(E136),ISNUMBER(F136),ISNUMBER(G136),H136="",I136=""),3,IF(AND(ISNUMBER(E136),ISNUMBER(F136),ISNUMBER(G136),ISNUMBER(H136),I136=""),4,IF(AND(ISNUMBER(E136),ISNUMBER(F136),ISNUMBER(G136),ISNUMBER(H136),ISNUMBER(I136)),5,0)))))</f>
        <v>2</v>
      </c>
      <c r="N136" s="72" t="b">
        <f t="shared" ref="N136:N199" si="19">IF(AND(J136&lt;&gt;"",ISNUMBER(J136)),TRUE,FALSE)</f>
        <v>0</v>
      </c>
      <c r="O136" s="72" t="b">
        <f t="shared" ref="O136:O199" si="20">NOT(OR(AB136="削除",AB136="移管済",AB136="棚上げ",AB136="却下"))</f>
        <v>1</v>
      </c>
      <c r="P136" s="72" t="b">
        <f t="shared" ref="P136:P199" si="21">AND(M136&gt;0,R136&lt;&gt;"",IFERROR(ISNUMBER(MATCH(IFERROR(LEFT(R136,FIND("~",SUBSTITUTE(R136,".","~",LEN(R136)-LEN(SUBSTITUTE(R136,".",""))))-1),R136),R$8:R$218,0)),FALSE))</f>
        <v>1</v>
      </c>
      <c r="Q136" s="72" t="b">
        <f t="shared" ref="Q136:Q199" si="22">AND(M136&gt;0,N136=FALSE,R136&lt;&gt;"",IFERROR(SUMPRODUCT(--(LEFT(R$8:R$218,LEN(R136&amp;"."))=R136&amp;"."))&gt;0,FALSE))</f>
        <v>1</v>
      </c>
      <c r="R136" s="72" t="str">
        <f t="shared" ref="R136:R199" si="23">IF(B136="E","ERROR",IF(E136="","",_xlfn.CONCAT(E136,IF(F136="","","."&amp;F136 ), IF(G136="","","."&amp;G136 ), IF(H136="","","."&amp;H136 ), IF(I136="","","."&amp;I136 ), IF(J136="","",".T"&amp;J136 ))))</f>
        <v>2.1</v>
      </c>
      <c r="T136" s="60" t="s">
        <v>235</v>
      </c>
      <c r="Z136" s="63">
        <f>SUM(_xlfn._xlws.FILTER(Z8:Z218,(E8:E218=E136)*(F8:F218=F136)*(ISNUMBER(G8:G218))*(H8:H218="")*(I8:I218="")*(N8:N218=FALSE)*(O8:O218=TRUE),0))+SUM(_xlfn._xlws.FILTER(Z8:Z218,(E8:E218=E136)*(F8:F218=F136)*(G8:G218="")*(H8:H218="")*(I8:I218="")*(N8:N218=TRUE)*(O8:O218=TRUE),0))</f>
        <v>42</v>
      </c>
      <c r="AA136" s="63">
        <f>SUM(_xlfn._xlws.FILTER(AA8:AA218,(E8:E218=E136)*(F8:F218=F136)*(ISNUMBER(G8:G218))*(H8:H218="")*(I8:I218="")*(N8:N218=FALSE)*(O8:O218=TRUE),0))+SUM(_xlfn._xlws.FILTER(AA8:AA218,(E8:E218=E136)*(F8:F218=F136)*(G8:G218="")*(H8:H218="")*(I8:I218="")*(N8:N218=TRUE)*(O8:O218=TRUE),0))</f>
        <v>4</v>
      </c>
      <c r="AB136" s="63" t="s">
        <v>234</v>
      </c>
      <c r="AC136" s="63">
        <f>(SUM(_xlfn._xlws.FILTER(AC8:AC218,(E8:E218=E136)*(F8:F218=F136)*(ISNUMBER(G8:G218))*(H8:H218="")*(I8:I218="")*(N8:N218=FALSE)*(O8:O218=TRUE),0))+SUM(_xlfn._xlws.FILTER(AC8:AC218,(E8:E218=E136)*(F8:F218=F136)*(G8:G218="")*(H8:H218="")*(I8:I218="")*(N8:N218=TRUE)*(O8:O218=TRUE),0)))/IF(IFERROR(COUNT(_xlfn._xlws.FILTER(AC8:AC218,(E8:E218=E136)*(F8:F218=F136)*(ISNUMBER(G8:G218))*(H8:H218="")*(I8:I218="")*(N8:N218=FALSE)*(O8:O218=TRUE))),0)+IFERROR(COUNT(_xlfn._xlws.FILTER(AC8:AC218,(E8:E218=E136)*(F8:F218=F136)*(G8:G218="")*(H8:H218="")*(I8:I218="")*(N8:N218=TRUE)*(O8:O218=TRUE))),0)=0,1,IFERROR(COUNT(_xlfn._xlws.FILTER(AC8:AC218,(E8:E218=E136)*(F8:F218=F136)*(ISNUMBER(G8:G218))*(H8:H218="")*(I8:I218="")*(N8:N218=FALSE)*(O8:O218=TRUE))),0)+IFERROR(COUNT(_xlfn._xlws.FILTER(AC8:AC218,(E8:E218=E136)*(F8:F218=F136)*(G8:G218="")*(H8:H218="")*(I8:I218="")*(N8:N218=TRUE)*(O8:O218=TRUE))),0))</f>
        <v>0</v>
      </c>
      <c r="AD136" s="71">
        <f>(SUM(_xlfn._xlws.FILTER(AD8:AD218*(AE8:AE218),(E8:E218=E136)*(F8:F218=F136)*(ISNUMBER(G8:G218))*(H8:H218="")*(I8:I218="")*(N8:N218=FALSE)*(O8:O218=TRUE),0))+SUM(_xlfn._xlws.FILTER(AD8:AD218*(AE8:AE218),(E8:E218=E136)*(F8:F218=F136)*(G8:G218="")*(H8:H218="")*(I8:I218="")*(N8:N218=TRUE)*(O8:O218=TRUE),0)))/IF(SUM(_xlfn._xlws.FILTER(AE8:AE218,(E8:E218=E136)*(F8:F218=F136)*(ISNUMBER(G8:G218))*(H8:H218="")*(I8:I218="")*(N8:N218=FALSE)*(O8:O218=TRUE),0))+SUM(_xlfn._xlws.FILTER(AE8:AE218,(E8:E218=E136)*(F8:F218=F136)*(G8:G218="")*(H8:H218="")*(I8:I218="")*(N8:N218=TRUE)*(O8:O218=TRUE),0))=0,1,SUM(_xlfn._xlws.FILTER(AE8:AE218,(E8:E218=E136)*(F8:F218=F136)*(ISNUMBER(G8:G218))*(H8:H218="")*(I8:I218="")*(N8:N218=FALSE)*(O8:O218=TRUE),0))+SUM(_xlfn._xlws.FILTER(AE8:AE218,(E8:E218=E136)*(F8:F218=F136)*(G8:G218="")*(H8:H218="")*(I8:I218="")*(N8:N218=TRUE)*(O8:O218=TRUE),0)))</f>
        <v>0</v>
      </c>
      <c r="AE136" s="63">
        <v>1</v>
      </c>
      <c r="AF136" s="63" t="s">
        <v>234</v>
      </c>
      <c r="AG136" s="63" t="s">
        <v>234</v>
      </c>
      <c r="AH136" s="73"/>
      <c r="AI136" s="63">
        <f>SUM(_xlfn._xlws.FILTER(AI8:AI218,(E8:E218=E136)*(F8:F218=F136)*(ISNUMBER(G8:G218))*(H8:H218="")*(I8:I218="")*(N8:N218=FALSE)*(O8:O218=TRUE),0))+SUM(_xlfn._xlws.FILTER(AI8:AI218,(E8:E218=E136)*(F8:F218=F136)*(G8:G218="")*(H8:H218="")*(I8:I218="")*(N8:N218=TRUE)*(O8:O218=TRUE),0))</f>
        <v>0</v>
      </c>
      <c r="AJ136" s="63"/>
      <c r="AK136" s="63"/>
      <c r="AL136" s="63">
        <f>SUM(_xlfn._xlws.FILTER(AL8:AL218,(E8:E218=E136)*(F8:F218=F136)*(ISNUMBER(G8:G218))*(H8:H218="")*(I8:I218="")*(N8:N218=FALSE)*(O8:O218=TRUE),0))+SUM(_xlfn._xlws.FILTER(AL8:AL218,(E8:E218=E136)*(F8:F218=F136)*(G8:G218="")*(H8:H218="")*(I8:I218="")*(N8:N218=TRUE)*(O8:O218=TRUE),0))</f>
        <v>0</v>
      </c>
      <c r="AM136" s="63">
        <f>SUM(_xlfn._xlws.FILTER(AM8:AM218,(E8:E218=E136)*(F8:F218=F136)*(ISNUMBER(G8:G218))*(H8:H218="")*(I8:I218="")*(N8:N218=FALSE)*(O8:O218=TRUE),0))+SUM(_xlfn._xlws.FILTER(AM8:AM218,(E8:E218=E136)*(F8:F218=F136)*(G8:G218="")*(H8:H218="")*(I8:I218="")*(N8:N218=TRUE)*(O8:O218=TRUE),0))</f>
        <v>0</v>
      </c>
      <c r="AN136" s="63"/>
      <c r="AO136" s="63"/>
      <c r="AP136" s="63" t="s">
        <v>234</v>
      </c>
      <c r="AQ136" s="63" t="s">
        <v>234</v>
      </c>
    </row>
    <row r="137" spans="2:43" ht="18" customHeight="1">
      <c r="B137" s="63"/>
      <c r="C137" s="63" t="s">
        <v>257</v>
      </c>
      <c r="D137" s="63" t="s">
        <v>257</v>
      </c>
      <c r="E137" s="63">
        <v>2</v>
      </c>
      <c r="F137" s="63">
        <v>1</v>
      </c>
      <c r="G137" s="63"/>
      <c r="H137" s="63"/>
      <c r="I137" s="63"/>
      <c r="J137" s="63">
        <v>1</v>
      </c>
      <c r="K137" s="72" t="str">
        <f t="shared" si="16"/>
        <v>002.001.---.---.---.001</v>
      </c>
      <c r="L137" s="72">
        <f t="shared" si="17"/>
        <v>1</v>
      </c>
      <c r="M137" s="72">
        <f t="shared" si="18"/>
        <v>2</v>
      </c>
      <c r="N137" s="72" t="b">
        <f t="shared" si="19"/>
        <v>1</v>
      </c>
      <c r="O137" s="72" t="b">
        <f t="shared" si="20"/>
        <v>1</v>
      </c>
      <c r="P137" s="72" t="b">
        <f t="shared" si="21"/>
        <v>1</v>
      </c>
      <c r="Q137" s="72" t="b">
        <f t="shared" si="22"/>
        <v>0</v>
      </c>
      <c r="R137" s="72" t="str">
        <f t="shared" si="23"/>
        <v>2.1.T1</v>
      </c>
      <c r="X137" s="60" t="s">
        <v>236</v>
      </c>
      <c r="Z137" s="63">
        <v>1</v>
      </c>
      <c r="AA137" s="63">
        <f>IF(AB137="完了",1,0)</f>
        <v>0</v>
      </c>
      <c r="AB137" s="63" t="s">
        <v>237</v>
      </c>
      <c r="AC137" s="63">
        <f>AM137/IF(AL137+AM137=0,1,AL137+AM137)</f>
        <v>0</v>
      </c>
      <c r="AD137" s="71"/>
      <c r="AE137" s="63">
        <v>1</v>
      </c>
      <c r="AF137" s="63" t="s">
        <v>234</v>
      </c>
      <c r="AG137" s="63" t="s">
        <v>234</v>
      </c>
      <c r="AH137" s="73"/>
      <c r="AI137" s="63"/>
      <c r="AJ137" s="63"/>
      <c r="AK137" s="63"/>
      <c r="AL137" s="63"/>
      <c r="AM137" s="63"/>
      <c r="AN137" s="63"/>
      <c r="AO137" s="63"/>
      <c r="AP137" s="63" t="s">
        <v>234</v>
      </c>
      <c r="AQ137" s="63" t="s">
        <v>234</v>
      </c>
    </row>
    <row r="138" spans="2:43" ht="18" customHeight="1">
      <c r="B138" s="63"/>
      <c r="C138" s="63" t="s">
        <v>257</v>
      </c>
      <c r="D138" s="63" t="s">
        <v>257</v>
      </c>
      <c r="E138" s="63">
        <v>2</v>
      </c>
      <c r="F138" s="63">
        <v>1</v>
      </c>
      <c r="G138" s="63"/>
      <c r="H138" s="63"/>
      <c r="I138" s="63"/>
      <c r="J138" s="63">
        <v>2</v>
      </c>
      <c r="K138" s="72" t="str">
        <f t="shared" si="16"/>
        <v>002.001.---.---.---.002</v>
      </c>
      <c r="L138" s="72">
        <f t="shared" si="17"/>
        <v>1</v>
      </c>
      <c r="M138" s="72">
        <f t="shared" si="18"/>
        <v>2</v>
      </c>
      <c r="N138" s="72" t="b">
        <f t="shared" si="19"/>
        <v>1</v>
      </c>
      <c r="O138" s="72" t="b">
        <f t="shared" si="20"/>
        <v>0</v>
      </c>
      <c r="P138" s="72" t="b">
        <f t="shared" si="21"/>
        <v>1</v>
      </c>
      <c r="Q138" s="72" t="b">
        <f t="shared" si="22"/>
        <v>0</v>
      </c>
      <c r="R138" s="72" t="str">
        <f t="shared" si="23"/>
        <v>2.1.T2</v>
      </c>
      <c r="X138" s="60" t="s">
        <v>238</v>
      </c>
      <c r="Z138" s="63">
        <v>1</v>
      </c>
      <c r="AA138" s="63">
        <f>IF(AB138="完了",1,0)</f>
        <v>0</v>
      </c>
      <c r="AB138" s="63" t="s">
        <v>239</v>
      </c>
      <c r="AC138" s="63">
        <f>AM138/IF(AL138+AM138=0,1,AL138+AM138)</f>
        <v>0</v>
      </c>
      <c r="AD138" s="71"/>
      <c r="AE138" s="63">
        <v>1</v>
      </c>
      <c r="AF138" s="63" t="s">
        <v>234</v>
      </c>
      <c r="AG138" s="63" t="s">
        <v>234</v>
      </c>
      <c r="AH138" s="73"/>
      <c r="AI138" s="63"/>
      <c r="AJ138" s="63"/>
      <c r="AK138" s="63"/>
      <c r="AL138" s="63"/>
      <c r="AM138" s="63"/>
      <c r="AN138" s="63"/>
      <c r="AO138" s="63"/>
      <c r="AP138" s="63" t="s">
        <v>234</v>
      </c>
      <c r="AQ138" s="63" t="s">
        <v>234</v>
      </c>
    </row>
    <row r="139" spans="2:43" ht="18" customHeight="1">
      <c r="B139" s="63"/>
      <c r="C139" s="63" t="s">
        <v>257</v>
      </c>
      <c r="D139" s="63" t="s">
        <v>257</v>
      </c>
      <c r="E139" s="63">
        <v>2</v>
      </c>
      <c r="F139" s="63">
        <v>1</v>
      </c>
      <c r="G139" s="63"/>
      <c r="H139" s="63"/>
      <c r="I139" s="63"/>
      <c r="J139" s="63">
        <v>3</v>
      </c>
      <c r="K139" s="72" t="str">
        <f t="shared" si="16"/>
        <v>002.001.---.---.---.003</v>
      </c>
      <c r="L139" s="72">
        <f t="shared" si="17"/>
        <v>1</v>
      </c>
      <c r="M139" s="72">
        <f t="shared" si="18"/>
        <v>2</v>
      </c>
      <c r="N139" s="72" t="b">
        <f t="shared" si="19"/>
        <v>1</v>
      </c>
      <c r="O139" s="72" t="b">
        <f t="shared" si="20"/>
        <v>1</v>
      </c>
      <c r="P139" s="72" t="b">
        <f t="shared" si="21"/>
        <v>1</v>
      </c>
      <c r="Q139" s="72" t="b">
        <f t="shared" si="22"/>
        <v>0</v>
      </c>
      <c r="R139" s="72" t="str">
        <f t="shared" si="23"/>
        <v>2.1.T3</v>
      </c>
      <c r="X139" s="60" t="s">
        <v>240</v>
      </c>
      <c r="Z139" s="63">
        <v>1</v>
      </c>
      <c r="AA139" s="63">
        <f>IF(AB139="完了",1,0)</f>
        <v>0</v>
      </c>
      <c r="AB139" s="63" t="s">
        <v>234</v>
      </c>
      <c r="AC139" s="63">
        <f>AM139/IF(AL139+AM139=0,1,AL139+AM139)</f>
        <v>0</v>
      </c>
      <c r="AD139" s="71"/>
      <c r="AE139" s="63">
        <v>1</v>
      </c>
      <c r="AF139" s="63" t="s">
        <v>234</v>
      </c>
      <c r="AG139" s="63" t="s">
        <v>234</v>
      </c>
      <c r="AH139" s="73"/>
      <c r="AI139" s="63"/>
      <c r="AJ139" s="63"/>
      <c r="AK139" s="63"/>
      <c r="AL139" s="63"/>
      <c r="AM139" s="63"/>
      <c r="AN139" s="63"/>
      <c r="AO139" s="63"/>
      <c r="AP139" s="63" t="s">
        <v>234</v>
      </c>
      <c r="AQ139" s="63" t="s">
        <v>234</v>
      </c>
    </row>
    <row r="140" spans="2:43" ht="18" customHeight="1">
      <c r="B140" s="63"/>
      <c r="C140" s="63" t="s">
        <v>257</v>
      </c>
      <c r="D140" s="63" t="s">
        <v>257</v>
      </c>
      <c r="E140" s="63">
        <v>2</v>
      </c>
      <c r="F140" s="63">
        <v>1</v>
      </c>
      <c r="G140" s="63">
        <v>1</v>
      </c>
      <c r="H140" s="63"/>
      <c r="I140" s="63"/>
      <c r="J140" s="63"/>
      <c r="K140" s="72" t="str">
        <f t="shared" si="16"/>
        <v>002.001.001.---.---.---</v>
      </c>
      <c r="L140" s="72">
        <f t="shared" si="17"/>
        <v>1</v>
      </c>
      <c r="M140" s="72">
        <f t="shared" si="18"/>
        <v>3</v>
      </c>
      <c r="N140" s="72" t="b">
        <f t="shared" si="19"/>
        <v>0</v>
      </c>
      <c r="O140" s="72" t="b">
        <f t="shared" si="20"/>
        <v>1</v>
      </c>
      <c r="P140" s="72" t="b">
        <f t="shared" si="21"/>
        <v>1</v>
      </c>
      <c r="Q140" s="72" t="b">
        <f t="shared" si="22"/>
        <v>1</v>
      </c>
      <c r="R140" s="72" t="str">
        <f t="shared" si="23"/>
        <v>2.1.1</v>
      </c>
      <c r="U140" s="60" t="s">
        <v>241</v>
      </c>
      <c r="Z140" s="63">
        <f>SUM(_xlfn._xlws.FILTER(Z8:Z218,(E8:E218=E140)*(F8:F218=F140)*(G8:G218=G140)*(ISNUMBER(H8:H218))*(I8:I218="")*(N8:N218=FALSE)*(O8:O218=TRUE),0))+SUM(_xlfn._xlws.FILTER(Z8:Z218,(E8:E218=E140)*(F8:F218=F140)*(G8:G218=G140)*(H8:H218="")*(I8:I218="")*(N8:N218=TRUE)*(O8:O218=TRUE),0))</f>
        <v>20</v>
      </c>
      <c r="AA140" s="63">
        <f>SUM(_xlfn._xlws.FILTER(AA8:AA218,(E8:E218=E140)*(F8:F218=F140)*(G8:G218=G140)*(ISNUMBER(H8:H218))*(I8:I218="")*(N8:N218=FALSE)*(O8:O218=TRUE),0))+SUM(_xlfn._xlws.FILTER(AA8:AA218,(E8:E218=E140)*(F8:F218=F140)*(G8:G218=G140)*(H8:H218="")*(I8:I218="")*(N8:N218=TRUE)*(O8:O218=TRUE),0))</f>
        <v>2</v>
      </c>
      <c r="AB140" s="63" t="s">
        <v>234</v>
      </c>
      <c r="AC140" s="63">
        <f>(SUM(_xlfn._xlws.FILTER(AC8:AC218,(E8:E218=E140)*(F8:F218=F140)*(G8:G218=G140)*(ISNUMBER(H8:H218))*(I8:I218="")*(N8:N218=FALSE)*(O8:O218=TRUE),0))+SUM(_xlfn._xlws.FILTER(AC8:AC218,(E8:E218=E140)*(F8:F218=F140)*(G8:G218=G140)*(H8:H218="")*(I8:I218="")*(N8:N218=TRUE)*(O8:O218=TRUE),0)))/IF(IFERROR(COUNT(_xlfn._xlws.FILTER(AC8:AC218,(E8:E218=E140)*(F8:F218=F140)*(G8:G218=G140)*(ISNUMBER(H8:H218))*(I8:I218="")*(N8:N218=FALSE)*(O8:O218=TRUE))),0)+IFERROR(COUNT(_xlfn._xlws.FILTER(AC8:AC218,(E8:E218=E140)*(F8:F218=F140)*(G8:G218=G140)*(H8:H218="")*(I8:I218="")*(N8:N218=TRUE)*(O8:O218=TRUE))),0)=0,1,IFERROR(COUNT(_xlfn._xlws.FILTER(AC8:AC218,(E8:E218=E140)*(F8:F218=F140)*(G8:G218=G140)*(ISNUMBER(H8:H218))*(I8:I218="")*(N8:N218=FALSE)*(O8:O218=TRUE))),0)+IFERROR(COUNT(_xlfn._xlws.FILTER(AC8:AC218,(E8:E218=E140)*(F8:F218=F140)*(G8:G218=G140)*(H8:H218="")*(I8:I218="")*(N8:N218=TRUE)*(O8:O218=TRUE))),0))</f>
        <v>0</v>
      </c>
      <c r="AD140" s="71">
        <f>(SUM(_xlfn._xlws.FILTER(AD8:AD218*(AE8:AE218),(E8:E218=E140)*(F8:F218=F140)*(G8:G218=G140)*(ISNUMBER(H8:H218))*(I8:I218="")*(N8:N218=FALSE)*(O8:O218=TRUE),0))+SUM(_xlfn._xlws.FILTER(AD8:AD218*(AE8:AE218),(E8:E218=E140)*(F8:F218=F140)*(G8:G218=G140)*(H8:H218="")*(I8:I218="")*(N8:N218=TRUE)*(O8:O218=TRUE),0)))/IF(SUM(_xlfn._xlws.FILTER(AE8:AE218,(E8:E218=E140)*(F8:F218=F140)*(G8:G218=G140)*(ISNUMBER(H8:H218))*(I8:I218="")*(N8:N218=FALSE)*(O8:O218=TRUE),0))+SUM(_xlfn._xlws.FILTER(AE8:AE218,(E8:E218=E140)*(F8:F218=F140)*(G8:G218=G140)*(H8:H218="")*(I8:I218="")*(N8:N218=TRUE)*(O8:O218=TRUE),0))=0,1,SUM(_xlfn._xlws.FILTER(AE8:AE218,(E8:E218=E140)*(F8:F218=F140)*(G8:G218=G140)*(ISNUMBER(H8:H218))*(I8:I218="")*(N8:N218=FALSE)*(O8:O218=TRUE),0))+SUM(_xlfn._xlws.FILTER(AE8:AE218,(E8:E218=E140)*(F8:F218=F140)*(G8:G218=G140)*(H8:H218="")*(I8:I218="")*(N8:N218=TRUE)*(O8:O218=TRUE),0)))</f>
        <v>0</v>
      </c>
      <c r="AE140" s="63">
        <v>1</v>
      </c>
      <c r="AF140" s="63" t="s">
        <v>234</v>
      </c>
      <c r="AG140" s="63" t="s">
        <v>234</v>
      </c>
      <c r="AH140" s="73"/>
      <c r="AI140" s="63">
        <f>SUM(_xlfn._xlws.FILTER(AI8:AI218,(E8:E218=E140)*(F8:F218=F140)*(G8:G218=G140)*(ISNUMBER(H8:H218))*(I8:I218="")*(N8:N218=FALSE)*(O8:O218=TRUE),0))+SUM(_xlfn._xlws.FILTER(AI8:AI218,(E8:E218=E140)*(F8:F218=F140)*(G8:G218=G140)*(H8:H218="")*(I8:I218="")*(N8:N218=TRUE)*(O8:O218=TRUE),0))</f>
        <v>0</v>
      </c>
      <c r="AJ140" s="63"/>
      <c r="AK140" s="63"/>
      <c r="AL140" s="63">
        <f>SUM(_xlfn._xlws.FILTER(AL8:AL218,(E8:E218=E140)*(F8:F218=F140)*(G8:G218=G140)*(ISNUMBER(H8:H218))*(I8:I218="")*(N8:N218=FALSE)*(O8:O218=TRUE),0))+SUM(_xlfn._xlws.FILTER(AL8:AL218,(E8:E218=E140)*(F8:F218=F140)*(G8:G218=G140)*(H8:H218="")*(I8:I218="")*(N8:N218=TRUE)*(O8:O218=TRUE),0))</f>
        <v>0</v>
      </c>
      <c r="AM140" s="63">
        <f>SUM(_xlfn._xlws.FILTER(AM8:AM218,(E8:E218=E140)*(F8:F218=F140)*(G8:G218=G140)*(ISNUMBER(H8:H218))*(I8:I218="")*(N8:N218=FALSE)*(O8:O218=TRUE),0))+SUM(_xlfn._xlws.FILTER(AM8:AM218,(E8:E218=E140)*(F8:F218=F140)*(G8:G218=G140)*(H8:H218="")*(I8:I218="")*(N8:N218=TRUE)*(O8:O218=TRUE),0))</f>
        <v>0</v>
      </c>
      <c r="AN140" s="63"/>
      <c r="AO140" s="63"/>
      <c r="AP140" s="63" t="s">
        <v>234</v>
      </c>
      <c r="AQ140" s="63" t="s">
        <v>234</v>
      </c>
    </row>
    <row r="141" spans="2:43" ht="18" customHeight="1">
      <c r="B141" s="63"/>
      <c r="C141" s="63" t="s">
        <v>257</v>
      </c>
      <c r="D141" s="63" t="s">
        <v>257</v>
      </c>
      <c r="E141" s="63">
        <v>2</v>
      </c>
      <c r="F141" s="63">
        <v>1</v>
      </c>
      <c r="G141" s="63">
        <v>1</v>
      </c>
      <c r="H141" s="63"/>
      <c r="I141" s="63"/>
      <c r="J141" s="63">
        <v>1</v>
      </c>
      <c r="K141" s="72" t="str">
        <f t="shared" si="16"/>
        <v>002.001.001.---.---.001</v>
      </c>
      <c r="L141" s="72">
        <f t="shared" si="17"/>
        <v>1</v>
      </c>
      <c r="M141" s="72">
        <f t="shared" si="18"/>
        <v>3</v>
      </c>
      <c r="N141" s="72" t="b">
        <f t="shared" si="19"/>
        <v>1</v>
      </c>
      <c r="O141" s="72" t="b">
        <f t="shared" si="20"/>
        <v>0</v>
      </c>
      <c r="P141" s="72" t="b">
        <f t="shared" si="21"/>
        <v>1</v>
      </c>
      <c r="Q141" s="72" t="b">
        <f t="shared" si="22"/>
        <v>0</v>
      </c>
      <c r="R141" s="72" t="str">
        <f t="shared" si="23"/>
        <v>2.1.1.T1</v>
      </c>
      <c r="X141" s="60" t="s">
        <v>242</v>
      </c>
      <c r="Z141" s="63">
        <v>1</v>
      </c>
      <c r="AA141" s="63">
        <f>IF(AB141="完了",1,0)</f>
        <v>0</v>
      </c>
      <c r="AB141" s="63" t="s">
        <v>243</v>
      </c>
      <c r="AC141" s="63">
        <f>AM141/IF(AL141+AM141=0,1,AL141+AM141)</f>
        <v>0</v>
      </c>
      <c r="AD141" s="71"/>
      <c r="AE141" s="63">
        <v>1</v>
      </c>
      <c r="AF141" s="63" t="s">
        <v>234</v>
      </c>
      <c r="AG141" s="63" t="s">
        <v>234</v>
      </c>
      <c r="AH141" s="73"/>
      <c r="AI141" s="63"/>
      <c r="AJ141" s="63"/>
      <c r="AK141" s="63"/>
      <c r="AL141" s="63"/>
      <c r="AM141" s="63"/>
      <c r="AN141" s="63"/>
      <c r="AO141" s="63"/>
      <c r="AP141" s="63" t="s">
        <v>234</v>
      </c>
      <c r="AQ141" s="63" t="s">
        <v>234</v>
      </c>
    </row>
    <row r="142" spans="2:43" ht="18" customHeight="1">
      <c r="B142" s="63"/>
      <c r="C142" s="63" t="s">
        <v>257</v>
      </c>
      <c r="D142" s="63" t="s">
        <v>257</v>
      </c>
      <c r="E142" s="63">
        <v>2</v>
      </c>
      <c r="F142" s="63">
        <v>1</v>
      </c>
      <c r="G142" s="63">
        <v>1</v>
      </c>
      <c r="H142" s="63"/>
      <c r="I142" s="63"/>
      <c r="J142" s="63">
        <v>2</v>
      </c>
      <c r="K142" s="72" t="str">
        <f t="shared" si="16"/>
        <v>002.001.001.---.---.002</v>
      </c>
      <c r="L142" s="72">
        <f t="shared" si="17"/>
        <v>1</v>
      </c>
      <c r="M142" s="72">
        <f t="shared" si="18"/>
        <v>3</v>
      </c>
      <c r="N142" s="72" t="b">
        <f t="shared" si="19"/>
        <v>1</v>
      </c>
      <c r="O142" s="72" t="b">
        <f t="shared" si="20"/>
        <v>1</v>
      </c>
      <c r="P142" s="72" t="b">
        <f t="shared" si="21"/>
        <v>1</v>
      </c>
      <c r="Q142" s="72" t="b">
        <f t="shared" si="22"/>
        <v>0</v>
      </c>
      <c r="R142" s="72" t="str">
        <f t="shared" si="23"/>
        <v>2.1.1.T2</v>
      </c>
      <c r="X142" s="60" t="s">
        <v>244</v>
      </c>
      <c r="Z142" s="63">
        <v>1</v>
      </c>
      <c r="AA142" s="63">
        <f>IF(AB142="完了",1,0)</f>
        <v>0</v>
      </c>
      <c r="AB142" s="63" t="s">
        <v>245</v>
      </c>
      <c r="AC142" s="63">
        <f>AM142/IF(AL142+AM142=0,1,AL142+AM142)</f>
        <v>0</v>
      </c>
      <c r="AD142" s="71"/>
      <c r="AE142" s="63">
        <v>1</v>
      </c>
      <c r="AF142" s="63" t="s">
        <v>234</v>
      </c>
      <c r="AG142" s="63" t="s">
        <v>234</v>
      </c>
      <c r="AH142" s="73"/>
      <c r="AI142" s="63"/>
      <c r="AJ142" s="63"/>
      <c r="AK142" s="63"/>
      <c r="AL142" s="63"/>
      <c r="AM142" s="63"/>
      <c r="AN142" s="63"/>
      <c r="AO142" s="63"/>
      <c r="AP142" s="63" t="s">
        <v>234</v>
      </c>
      <c r="AQ142" s="63" t="s">
        <v>234</v>
      </c>
    </row>
    <row r="143" spans="2:43" ht="18" customHeight="1">
      <c r="B143" s="63"/>
      <c r="C143" s="63" t="s">
        <v>257</v>
      </c>
      <c r="D143" s="63" t="s">
        <v>257</v>
      </c>
      <c r="E143" s="63">
        <v>2</v>
      </c>
      <c r="F143" s="63">
        <v>1</v>
      </c>
      <c r="G143" s="63">
        <v>1</v>
      </c>
      <c r="H143" s="63"/>
      <c r="I143" s="63"/>
      <c r="J143" s="63">
        <v>3</v>
      </c>
      <c r="K143" s="72" t="str">
        <f t="shared" si="16"/>
        <v>002.001.001.---.---.003</v>
      </c>
      <c r="L143" s="72">
        <f t="shared" si="17"/>
        <v>1</v>
      </c>
      <c r="M143" s="72">
        <f t="shared" si="18"/>
        <v>3</v>
      </c>
      <c r="N143" s="72" t="b">
        <f t="shared" si="19"/>
        <v>1</v>
      </c>
      <c r="O143" s="72" t="b">
        <f t="shared" si="20"/>
        <v>1</v>
      </c>
      <c r="P143" s="72" t="b">
        <f t="shared" si="21"/>
        <v>1</v>
      </c>
      <c r="Q143" s="72" t="b">
        <f t="shared" si="22"/>
        <v>0</v>
      </c>
      <c r="R143" s="72" t="str">
        <f t="shared" si="23"/>
        <v>2.1.1.T3</v>
      </c>
      <c r="X143" s="60" t="s">
        <v>246</v>
      </c>
      <c r="Z143" s="63">
        <v>1</v>
      </c>
      <c r="AA143" s="63">
        <f>IF(AB143="完了",1,0)</f>
        <v>0</v>
      </c>
      <c r="AB143" s="63" t="s">
        <v>234</v>
      </c>
      <c r="AC143" s="63">
        <f>AM143/IF(AL143+AM143=0,1,AL143+AM143)</f>
        <v>0</v>
      </c>
      <c r="AD143" s="71"/>
      <c r="AE143" s="63">
        <v>1</v>
      </c>
      <c r="AF143" s="63" t="s">
        <v>234</v>
      </c>
      <c r="AG143" s="63" t="s">
        <v>234</v>
      </c>
      <c r="AH143" s="73"/>
      <c r="AI143" s="63"/>
      <c r="AJ143" s="63"/>
      <c r="AK143" s="63"/>
      <c r="AL143" s="63"/>
      <c r="AM143" s="63"/>
      <c r="AN143" s="63"/>
      <c r="AO143" s="63"/>
      <c r="AP143" s="63" t="s">
        <v>234</v>
      </c>
      <c r="AQ143" s="63" t="s">
        <v>234</v>
      </c>
    </row>
    <row r="144" spans="2:43" ht="18" customHeight="1">
      <c r="B144" s="63"/>
      <c r="C144" s="63" t="s">
        <v>257</v>
      </c>
      <c r="D144" s="63" t="s">
        <v>257</v>
      </c>
      <c r="E144" s="63">
        <v>2</v>
      </c>
      <c r="F144" s="63">
        <v>1</v>
      </c>
      <c r="G144" s="63">
        <v>1</v>
      </c>
      <c r="H144" s="63">
        <v>1</v>
      </c>
      <c r="I144" s="63"/>
      <c r="J144" s="63"/>
      <c r="K144" s="72" t="str">
        <f t="shared" si="16"/>
        <v>002.001.001.001.---.---</v>
      </c>
      <c r="L144" s="72">
        <f t="shared" si="17"/>
        <v>1</v>
      </c>
      <c r="M144" s="72">
        <f t="shared" si="18"/>
        <v>4</v>
      </c>
      <c r="N144" s="72" t="b">
        <f t="shared" si="19"/>
        <v>0</v>
      </c>
      <c r="O144" s="72" t="b">
        <f t="shared" si="20"/>
        <v>1</v>
      </c>
      <c r="P144" s="72" t="b">
        <f t="shared" si="21"/>
        <v>1</v>
      </c>
      <c r="Q144" s="72" t="b">
        <f t="shared" si="22"/>
        <v>1</v>
      </c>
      <c r="R144" s="72" t="str">
        <f t="shared" si="23"/>
        <v>2.1.1.1</v>
      </c>
      <c r="V144" s="60" t="s">
        <v>247</v>
      </c>
      <c r="Z144" s="63">
        <f>SUM(_xlfn._xlws.FILTER(Z8:Z218,(E8:E218=E144)*(F8:F218=F144)*(G8:G218=G144)*(H8:H218=H144)*(ISNUMBER(I8:I218))*(N8:N218=FALSE)*(O8:O218=TRUE),0))+SUM(_xlfn._xlws.FILTER(Z8:Z218,(E8:E218=E144)*(F8:F218=F144)*(G8:G218=G144)*(H8:H218=H144)*(I8:I218="")*(N8:N218=TRUE)*(O8:O218=TRUE),0))</f>
        <v>9</v>
      </c>
      <c r="AA144" s="63">
        <f>SUM(_xlfn._xlws.FILTER(AA8:AA218,(E8:E218=E144)*(F8:F218=F144)*(G8:G218=G144)*(H8:H218=H144)*(ISNUMBER(I8:I218))*(N8:N218=FALSE)*(O8:O218=TRUE),0))+SUM(_xlfn._xlws.FILTER(AA8:AA218,(E8:E218=E144)*(F8:F218=F144)*(G8:G218=G144)*(H8:H218=H144)*(I8:I218="")*(N8:N218=TRUE)*(O8:O218=TRUE),0))</f>
        <v>1</v>
      </c>
      <c r="AB144" s="63" t="s">
        <v>234</v>
      </c>
      <c r="AC144" s="63">
        <f>(SUM(_xlfn._xlws.FILTER(AC8:AC218,(E8:E218=E144)*(F8:F218=F144)*(G8:G218=G144)*(H8:H218=H144)*(ISNUMBER(I8:I218))*(N8:N218=FALSE)*(O8:O218=TRUE),0))+SUM(_xlfn._xlws.FILTER(AC8:AC218,(E8:E218=E144)*(F8:F218=F144)*(G8:G218=G144)*(H8:H218=H144)*(I8:I218="")*(N8:N218=TRUE)*(O8:O218=TRUE),0)))/IF(IFERROR(COUNT(_xlfn._xlws.FILTER(AC8:AC218,(E8:E218=E144)*(F8:F218=F144)*(G8:G218=G144)*(H8:H218=H144)*(ISNUMBER(I8:I218))*(N8:N218=FALSE)*(O8:O218=TRUE))),0)+IFERROR(COUNT(_xlfn._xlws.FILTER(AC8:AC218,(E8:E218=E144)*(F8:F218=F144)*(G8:G218=G144)*(H8:H218=H144)*(I8:I218="")*(N8:N218=TRUE)*(O8:O218=TRUE))),0)=0,1,IFERROR(COUNT(_xlfn._xlws.FILTER(AC8:AC218,(E8:E218=E144)*(F8:F218=F144)*(G8:G218=G144)*(H8:H218=H144)*(ISNUMBER(I8:I218))*(N8:N218=FALSE)*(O8:O218=TRUE))),0)+IFERROR(COUNT(_xlfn._xlws.FILTER(AC8:AC218,(E8:E218=E144)*(F8:F218=F144)*(G8:G218=G144)*(H8:H218=H144)*(I8:I218="")*(N8:N218=TRUE)*(O8:O218=TRUE))),0))</f>
        <v>0</v>
      </c>
      <c r="AD144" s="71">
        <f>(SUM(_xlfn._xlws.FILTER(AD8:AD218*(AE8:AE218),(E8:E218=E144)*(F8:F218=F144)*(G8:G218=G144)*(H8:H218=H144)*(ISNUMBER(I8:I218))*(N8:N218=FALSE)*(O8:O218=TRUE),0))+SUM(_xlfn._xlws.FILTER(AD8:AD218*(AE8:AE218),(E8:E218=E144)*(F8:F218=F144)*(G8:G218=G144)*(H8:H218=H144)*(I8:I218="")*(N8:N218=TRUE)*(O8:O218=TRUE),0)))/IF(SUM(_xlfn._xlws.FILTER(AE8:AE218,(E8:E218=E144)*(F8:F218=F144)*(G8:G218=G144)*(H8:H218=H144)*(ISNUMBER(I8:I218))*(N8:N218=FALSE)*(O8:O218=TRUE),0))+SUM(_xlfn._xlws.FILTER(AE8:AE218,(E8:E218=E144)*(F8:F218=F144)*(G8:G218=G144)*(H8:H218=H144)*(I8:I218="")*(N8:N218=TRUE)*(O8:O218=TRUE),0))=0,1,SUM(_xlfn._xlws.FILTER(AE8:AE218,(E8:E218=E144)*(F8:F218=F144)*(G8:G218=G144)*(H8:H218=H144)*(ISNUMBER(I8:I218))*(N8:N218=FALSE)*(O8:O218=TRUE),0))+SUM(_xlfn._xlws.FILTER(AE8:AE218,(E8:E218=E144)*(F8:F218=F144)*(G8:G218=G144)*(H8:H218=H144)*(I8:I218="")*(N8:N218=TRUE)*(O8:O218=TRUE),0)))</f>
        <v>0</v>
      </c>
      <c r="AE144" s="63">
        <v>1</v>
      </c>
      <c r="AF144" s="63" t="s">
        <v>234</v>
      </c>
      <c r="AG144" s="63" t="s">
        <v>234</v>
      </c>
      <c r="AH144" s="73"/>
      <c r="AI144" s="63">
        <f>SUM(_xlfn._xlws.FILTER(AI8:AI218,(E8:E218=E144)*(F8:F218=F144)*(G8:G218=G144)*(H8:H218=H144)*(ISNUMBER(I8:I218))*(N8:N218=FALSE)*(O8:O218=TRUE),0))+SUM(_xlfn._xlws.FILTER(AI8:AI218,(E8:E218=E144)*(F8:F218=F144)*(G8:G218=G144)*(H8:H218=H144)*(I8:I218="")*(N8:N218=TRUE)*(O8:O218=TRUE),0))</f>
        <v>0</v>
      </c>
      <c r="AJ144" s="63"/>
      <c r="AK144" s="63"/>
      <c r="AL144" s="63">
        <f>SUM(_xlfn._xlws.FILTER(AL8:AL218,(E8:E218=E144)*(F8:F218=F144)*(G8:G218=G144)*(H8:H218=H144)*(ISNUMBER(I8:I218))*(N8:N218=FALSE)*(O8:O218=TRUE),0))+SUM(_xlfn._xlws.FILTER(AL8:AL218,(E8:E218=E144)*(F8:F218=F144)*(G8:G218=G144)*(H8:H218=H144)*(I8:I218="")*(N8:N218=TRUE)*(O8:O218=TRUE),0))</f>
        <v>0</v>
      </c>
      <c r="AM144" s="63">
        <f>SUM(_xlfn._xlws.FILTER(AM8:AM218,(E8:E218=E144)*(F8:F218=F144)*(G8:G218=G144)*(H8:H218=H144)*(ISNUMBER(I8:I218))*(N8:N218=FALSE)*(O8:O218=TRUE),0))+SUM(_xlfn._xlws.FILTER(AM8:AM218,(E8:E218=E144)*(F8:F218=F144)*(G8:G218=G144)*(H8:H218=H144)*(I8:I218="")*(N8:N218=TRUE)*(O8:O218=TRUE),0))</f>
        <v>0</v>
      </c>
      <c r="AN144" s="63"/>
      <c r="AO144" s="63"/>
      <c r="AP144" s="63" t="s">
        <v>234</v>
      </c>
      <c r="AQ144" s="63" t="s">
        <v>234</v>
      </c>
    </row>
    <row r="145" spans="2:43" ht="18" customHeight="1">
      <c r="B145" s="63"/>
      <c r="C145" s="63" t="s">
        <v>257</v>
      </c>
      <c r="D145" s="63" t="s">
        <v>257</v>
      </c>
      <c r="E145" s="63">
        <v>2</v>
      </c>
      <c r="F145" s="63">
        <v>1</v>
      </c>
      <c r="G145" s="63">
        <v>1</v>
      </c>
      <c r="H145" s="63">
        <v>1</v>
      </c>
      <c r="I145" s="63"/>
      <c r="J145" s="63">
        <v>1</v>
      </c>
      <c r="K145" s="72" t="str">
        <f t="shared" si="16"/>
        <v>002.001.001.001.---.001</v>
      </c>
      <c r="L145" s="72">
        <f t="shared" si="17"/>
        <v>1</v>
      </c>
      <c r="M145" s="72">
        <f t="shared" si="18"/>
        <v>4</v>
      </c>
      <c r="N145" s="72" t="b">
        <f t="shared" si="19"/>
        <v>1</v>
      </c>
      <c r="O145" s="72" t="b">
        <f t="shared" si="20"/>
        <v>1</v>
      </c>
      <c r="P145" s="72" t="b">
        <f t="shared" si="21"/>
        <v>1</v>
      </c>
      <c r="Q145" s="72" t="b">
        <f t="shared" si="22"/>
        <v>0</v>
      </c>
      <c r="R145" s="72" t="str">
        <f t="shared" si="23"/>
        <v>2.1.1.1.T1</v>
      </c>
      <c r="X145" s="60" t="s">
        <v>248</v>
      </c>
      <c r="Z145" s="63">
        <v>1</v>
      </c>
      <c r="AA145" s="63">
        <f>IF(AB145="完了",1,0)</f>
        <v>1</v>
      </c>
      <c r="AB145" s="63" t="s">
        <v>204</v>
      </c>
      <c r="AC145" s="63">
        <f>AM145/IF(AL145+AM145=0,1,AL145+AM145)</f>
        <v>0</v>
      </c>
      <c r="AD145" s="71"/>
      <c r="AE145" s="63">
        <v>1</v>
      </c>
      <c r="AF145" s="63" t="s">
        <v>234</v>
      </c>
      <c r="AG145" s="63" t="s">
        <v>234</v>
      </c>
      <c r="AH145" s="73"/>
      <c r="AI145" s="63"/>
      <c r="AJ145" s="63"/>
      <c r="AK145" s="63"/>
      <c r="AL145" s="63"/>
      <c r="AM145" s="63"/>
      <c r="AN145" s="63"/>
      <c r="AO145" s="63"/>
      <c r="AP145" s="63" t="s">
        <v>234</v>
      </c>
      <c r="AQ145" s="63" t="s">
        <v>234</v>
      </c>
    </row>
    <row r="146" spans="2:43" ht="18" customHeight="1">
      <c r="B146" s="63"/>
      <c r="C146" s="63" t="s">
        <v>257</v>
      </c>
      <c r="D146" s="63" t="s">
        <v>257</v>
      </c>
      <c r="E146" s="63">
        <v>2</v>
      </c>
      <c r="F146" s="63">
        <v>1</v>
      </c>
      <c r="G146" s="63">
        <v>1</v>
      </c>
      <c r="H146" s="63">
        <v>1</v>
      </c>
      <c r="I146" s="63"/>
      <c r="J146" s="63">
        <v>2</v>
      </c>
      <c r="K146" s="72" t="str">
        <f t="shared" si="16"/>
        <v>002.001.001.001.---.002</v>
      </c>
      <c r="L146" s="72">
        <f t="shared" si="17"/>
        <v>1</v>
      </c>
      <c r="M146" s="72">
        <f t="shared" si="18"/>
        <v>4</v>
      </c>
      <c r="N146" s="72" t="b">
        <f t="shared" si="19"/>
        <v>1</v>
      </c>
      <c r="O146" s="72" t="b">
        <f t="shared" si="20"/>
        <v>1</v>
      </c>
      <c r="P146" s="72" t="b">
        <f t="shared" si="21"/>
        <v>1</v>
      </c>
      <c r="Q146" s="72" t="b">
        <f t="shared" si="22"/>
        <v>0</v>
      </c>
      <c r="R146" s="72" t="str">
        <f t="shared" si="23"/>
        <v>2.1.1.1.T2</v>
      </c>
      <c r="X146" s="60" t="s">
        <v>249</v>
      </c>
      <c r="Z146" s="63">
        <v>1</v>
      </c>
      <c r="AA146" s="63">
        <f>IF(AB146="完了",1,0)</f>
        <v>0</v>
      </c>
      <c r="AB146" s="63" t="s">
        <v>250</v>
      </c>
      <c r="AC146" s="63">
        <f>AM146/IF(AL146+AM146=0,1,AL146+AM146)</f>
        <v>0</v>
      </c>
      <c r="AD146" s="71"/>
      <c r="AE146" s="63">
        <v>1</v>
      </c>
      <c r="AF146" s="63" t="s">
        <v>234</v>
      </c>
      <c r="AG146" s="63" t="s">
        <v>234</v>
      </c>
      <c r="AH146" s="73"/>
      <c r="AI146" s="63"/>
      <c r="AJ146" s="63"/>
      <c r="AK146" s="63"/>
      <c r="AL146" s="63"/>
      <c r="AM146" s="63"/>
      <c r="AN146" s="63"/>
      <c r="AO146" s="63"/>
      <c r="AP146" s="63" t="s">
        <v>234</v>
      </c>
      <c r="AQ146" s="63" t="s">
        <v>234</v>
      </c>
    </row>
    <row r="147" spans="2:43" ht="18" customHeight="1">
      <c r="B147" s="63"/>
      <c r="C147" s="63" t="s">
        <v>257</v>
      </c>
      <c r="D147" s="63" t="s">
        <v>257</v>
      </c>
      <c r="E147" s="63">
        <v>2</v>
      </c>
      <c r="F147" s="63">
        <v>1</v>
      </c>
      <c r="G147" s="63">
        <v>1</v>
      </c>
      <c r="H147" s="63">
        <v>1</v>
      </c>
      <c r="I147" s="63"/>
      <c r="J147" s="63">
        <v>3</v>
      </c>
      <c r="K147" s="72" t="str">
        <f t="shared" si="16"/>
        <v>002.001.001.001.---.003</v>
      </c>
      <c r="L147" s="72">
        <f t="shared" si="17"/>
        <v>1</v>
      </c>
      <c r="M147" s="72">
        <f t="shared" si="18"/>
        <v>4</v>
      </c>
      <c r="N147" s="72" t="b">
        <f t="shared" si="19"/>
        <v>1</v>
      </c>
      <c r="O147" s="72" t="b">
        <f t="shared" si="20"/>
        <v>1</v>
      </c>
      <c r="P147" s="72" t="b">
        <f t="shared" si="21"/>
        <v>1</v>
      </c>
      <c r="Q147" s="72" t="b">
        <f t="shared" si="22"/>
        <v>0</v>
      </c>
      <c r="R147" s="72" t="str">
        <f t="shared" si="23"/>
        <v>2.1.1.1.T3</v>
      </c>
      <c r="X147" s="60" t="s">
        <v>251</v>
      </c>
      <c r="Z147" s="63">
        <v>1</v>
      </c>
      <c r="AA147" s="63">
        <f>IF(AB147="完了",1,0)</f>
        <v>0</v>
      </c>
      <c r="AB147" s="63" t="s">
        <v>234</v>
      </c>
      <c r="AC147" s="63">
        <f>AM147/IF(AL147+AM147=0,1,AL147+AM147)</f>
        <v>0</v>
      </c>
      <c r="AD147" s="71"/>
      <c r="AE147" s="63">
        <v>1</v>
      </c>
      <c r="AF147" s="63" t="s">
        <v>234</v>
      </c>
      <c r="AG147" s="63" t="s">
        <v>234</v>
      </c>
      <c r="AH147" s="73"/>
      <c r="AI147" s="63"/>
      <c r="AJ147" s="63"/>
      <c r="AK147" s="63"/>
      <c r="AL147" s="63"/>
      <c r="AM147" s="63"/>
      <c r="AN147" s="63"/>
      <c r="AO147" s="63"/>
      <c r="AP147" s="63" t="s">
        <v>234</v>
      </c>
      <c r="AQ147" s="63" t="s">
        <v>234</v>
      </c>
    </row>
    <row r="148" spans="2:43" ht="18" customHeight="1">
      <c r="B148" s="63"/>
      <c r="C148" s="63" t="s">
        <v>257</v>
      </c>
      <c r="D148" s="63" t="s">
        <v>257</v>
      </c>
      <c r="E148" s="63">
        <v>2</v>
      </c>
      <c r="F148" s="63">
        <v>1</v>
      </c>
      <c r="G148" s="63">
        <v>1</v>
      </c>
      <c r="H148" s="63">
        <v>1</v>
      </c>
      <c r="I148" s="63">
        <v>1</v>
      </c>
      <c r="J148" s="63"/>
      <c r="K148" s="72" t="str">
        <f t="shared" si="16"/>
        <v>002.001.001.001.001.---</v>
      </c>
      <c r="L148" s="72">
        <f t="shared" si="17"/>
        <v>1</v>
      </c>
      <c r="M148" s="72">
        <f t="shared" si="18"/>
        <v>5</v>
      </c>
      <c r="N148" s="72" t="b">
        <f t="shared" si="19"/>
        <v>0</v>
      </c>
      <c r="O148" s="72" t="b">
        <f t="shared" si="20"/>
        <v>1</v>
      </c>
      <c r="P148" s="72" t="b">
        <f t="shared" si="21"/>
        <v>1</v>
      </c>
      <c r="Q148" s="72" t="b">
        <f t="shared" si="22"/>
        <v>1</v>
      </c>
      <c r="R148" s="72" t="str">
        <f t="shared" si="23"/>
        <v>2.1.1.1.1</v>
      </c>
      <c r="W148" s="60" t="s">
        <v>252</v>
      </c>
      <c r="Z148" s="63">
        <f>SUM(_xlfn._xlws.FILTER(Z8:Z218,(E8:E218=E148)*(F8:F218=F148)*(G8:G218=G148)*(H8:H218=H148)*(I8:I218=I148)*(N8:N218=TRUE)*(O8:O218=TRUE),0))</f>
        <v>3</v>
      </c>
      <c r="AA148" s="63">
        <f>SUM(_xlfn._xlws.FILTER(AA8:AA218,(E8:E218=E148)*(F8:F218=F148)*(G8:G218=G148)*(H8:H218=H148)*(I8:I218=I148)*(N8:N218=TRUE)*(O8:O218=TRUE),0))</f>
        <v>0</v>
      </c>
      <c r="AB148" s="63" t="s">
        <v>234</v>
      </c>
      <c r="AC148" s="63">
        <f>SUM(_xlfn._xlws.FILTER(AC8:AC218,(E8:E218=E148)*(F8:F218=F148)*(G8:G218=G148)*(H8:H218=H148)*(I8:I218=I148)*(N8:N218=TRUE)*(O8:O218=TRUE),0))/IF(IFERROR(COUNT(_xlfn._xlws.FILTER(AC8:AC218,(E8:E218=E148)*(F8:F218=F148)*(G8:G218=G148)*(H8:H218=H148)*(I8:I218=I148)*(N8:N218=TRUE)*(O8:O218=TRUE))),0)=0,1,IFERROR(COUNT(_xlfn._xlws.FILTER(AC8:AC218,(E8:E218=E148)*(F8:F218=F148)*(G8:G218=G148)*(H8:H218=H148)*(I8:I218=I148)*(N8:N218=TRUE)*(O8:O218=TRUE))),0))</f>
        <v>0</v>
      </c>
      <c r="AD148" s="71">
        <f>SUM(_xlfn._xlws.FILTER(AD8:AD218*(AE8:AE218),(E8:E218=E148)*(F8:F218=F148)*(G8:G218=G148)*(H8:H218=H148)*(I8:I218=I148)*(N8:N218=TRUE)*(O8:O218=TRUE),0))/IF(SUM(_xlfn._xlws.FILTER(AE8:AE218,(E8:E218=E148)*(F8:F218=F148)*(G8:G218=G148)*(H8:H218=H148)*(I8:I218=I148)*(N8:N218=TRUE)*(O8:O218=TRUE),0))=0,1,SUM(_xlfn._xlws.FILTER(AE8:AE218,(E8:E218=E148)*(F8:F218=F148)*(G8:G218=G148)*(H8:H218=H148)*(I8:I218=I148)*(N8:N218=TRUE)*(O8:O218=TRUE),0)))</f>
        <v>0</v>
      </c>
      <c r="AE148" s="63">
        <v>1</v>
      </c>
      <c r="AF148" s="63" t="s">
        <v>234</v>
      </c>
      <c r="AG148" s="63" t="s">
        <v>234</v>
      </c>
      <c r="AH148" s="73"/>
      <c r="AI148" s="63">
        <f>SUM(_xlfn._xlws.FILTER(AI8:AI218,(E8:E218=E148)*(F8:F218=F148)*(G8:G218=G148)*(H8:H218=H148)*(I8:I218=I148)*(N8:N218=TRUE)*(O8:O218=TRUE),0))</f>
        <v>0</v>
      </c>
      <c r="AJ148" s="63"/>
      <c r="AK148" s="63"/>
      <c r="AL148" s="63">
        <f>SUM(_xlfn._xlws.FILTER(AL8:AL218,(E8:E218=E148)*(F8:F218=F148)*(G8:G218=G148)*(H8:H218=H148)*(I8:I218=I148)*(N8:N218=TRUE)*(O8:O218=TRUE),0))</f>
        <v>0</v>
      </c>
      <c r="AM148" s="63">
        <f>SUM(_xlfn._xlws.FILTER(AM8:AM218,(E8:E218=E148)*(F8:F218=F148)*(G8:G218=G148)*(H8:H218=H148)*(I8:I218=I148)*(N8:N218=TRUE)*(O8:O218=TRUE),0))</f>
        <v>0</v>
      </c>
      <c r="AN148" s="63"/>
      <c r="AO148" s="63"/>
      <c r="AP148" s="63" t="s">
        <v>234</v>
      </c>
      <c r="AQ148" s="63" t="s">
        <v>234</v>
      </c>
    </row>
    <row r="149" spans="2:43" ht="18" customHeight="1">
      <c r="B149" s="63"/>
      <c r="C149" s="63" t="s">
        <v>257</v>
      </c>
      <c r="D149" s="63" t="s">
        <v>257</v>
      </c>
      <c r="E149" s="63">
        <v>2</v>
      </c>
      <c r="F149" s="63">
        <v>1</v>
      </c>
      <c r="G149" s="63">
        <v>1</v>
      </c>
      <c r="H149" s="63">
        <v>1</v>
      </c>
      <c r="I149" s="63">
        <v>1</v>
      </c>
      <c r="J149" s="63">
        <v>1</v>
      </c>
      <c r="K149" s="72" t="str">
        <f t="shared" si="16"/>
        <v>002.001.001.001.001.001</v>
      </c>
      <c r="L149" s="72">
        <f t="shared" si="17"/>
        <v>1</v>
      </c>
      <c r="M149" s="72">
        <f t="shared" si="18"/>
        <v>5</v>
      </c>
      <c r="N149" s="72" t="b">
        <f t="shared" si="19"/>
        <v>1</v>
      </c>
      <c r="O149" s="72" t="b">
        <f t="shared" si="20"/>
        <v>1</v>
      </c>
      <c r="P149" s="72" t="b">
        <f t="shared" si="21"/>
        <v>1</v>
      </c>
      <c r="Q149" s="72" t="b">
        <f t="shared" si="22"/>
        <v>0</v>
      </c>
      <c r="R149" s="72" t="str">
        <f t="shared" si="23"/>
        <v>2.1.1.1.1.T1</v>
      </c>
      <c r="X149" s="60" t="s">
        <v>253</v>
      </c>
      <c r="Z149" s="63">
        <v>1</v>
      </c>
      <c r="AA149" s="63">
        <f>IF(AB149="完了",1,0)</f>
        <v>0</v>
      </c>
      <c r="AB149" s="63" t="s">
        <v>234</v>
      </c>
      <c r="AC149" s="63">
        <f>AM149/IF(AL149+AM149=0,1,AL149+AM149)</f>
        <v>0</v>
      </c>
      <c r="AD149" s="71"/>
      <c r="AE149" s="63">
        <v>1</v>
      </c>
      <c r="AF149" s="63" t="s">
        <v>234</v>
      </c>
      <c r="AG149" s="63" t="s">
        <v>234</v>
      </c>
      <c r="AH149" s="73"/>
      <c r="AI149" s="63"/>
      <c r="AJ149" s="63"/>
      <c r="AK149" s="63"/>
      <c r="AL149" s="63"/>
      <c r="AM149" s="63"/>
      <c r="AN149" s="63"/>
      <c r="AO149" s="63"/>
      <c r="AP149" s="63" t="s">
        <v>234</v>
      </c>
      <c r="AQ149" s="63" t="s">
        <v>234</v>
      </c>
    </row>
    <row r="150" spans="2:43" ht="18" customHeight="1">
      <c r="B150" s="63"/>
      <c r="C150" s="63" t="s">
        <v>257</v>
      </c>
      <c r="D150" s="63" t="s">
        <v>257</v>
      </c>
      <c r="E150" s="63">
        <v>2</v>
      </c>
      <c r="F150" s="63">
        <v>1</v>
      </c>
      <c r="G150" s="63">
        <v>1</v>
      </c>
      <c r="H150" s="63">
        <v>1</v>
      </c>
      <c r="I150" s="63">
        <v>1</v>
      </c>
      <c r="J150" s="63">
        <v>2</v>
      </c>
      <c r="K150" s="72" t="str">
        <f t="shared" si="16"/>
        <v>002.001.001.001.001.002</v>
      </c>
      <c r="L150" s="72">
        <f t="shared" si="17"/>
        <v>1</v>
      </c>
      <c r="M150" s="72">
        <f t="shared" si="18"/>
        <v>5</v>
      </c>
      <c r="N150" s="72" t="b">
        <f t="shared" si="19"/>
        <v>1</v>
      </c>
      <c r="O150" s="72" t="b">
        <f t="shared" si="20"/>
        <v>1</v>
      </c>
      <c r="P150" s="72" t="b">
        <f t="shared" si="21"/>
        <v>1</v>
      </c>
      <c r="Q150" s="72" t="b">
        <f t="shared" si="22"/>
        <v>0</v>
      </c>
      <c r="R150" s="72" t="str">
        <f t="shared" si="23"/>
        <v>2.1.1.1.1.T2</v>
      </c>
      <c r="X150" s="60" t="s">
        <v>254</v>
      </c>
      <c r="Z150" s="63">
        <v>1</v>
      </c>
      <c r="AA150" s="63">
        <f>IF(AB150="完了",1,0)</f>
        <v>0</v>
      </c>
      <c r="AB150" s="63" t="s">
        <v>234</v>
      </c>
      <c r="AC150" s="63">
        <f>AM150/IF(AL150+AM150=0,1,AL150+AM150)</f>
        <v>0</v>
      </c>
      <c r="AD150" s="71"/>
      <c r="AE150" s="63">
        <v>1</v>
      </c>
      <c r="AF150" s="63" t="s">
        <v>234</v>
      </c>
      <c r="AG150" s="63" t="s">
        <v>234</v>
      </c>
      <c r="AH150" s="73"/>
      <c r="AI150" s="63"/>
      <c r="AJ150" s="63"/>
      <c r="AK150" s="63"/>
      <c r="AL150" s="63"/>
      <c r="AM150" s="63"/>
      <c r="AN150" s="63"/>
      <c r="AO150" s="63"/>
      <c r="AP150" s="63" t="s">
        <v>234</v>
      </c>
      <c r="AQ150" s="63" t="s">
        <v>234</v>
      </c>
    </row>
    <row r="151" spans="2:43" ht="18" customHeight="1">
      <c r="B151" s="63"/>
      <c r="C151" s="63" t="s">
        <v>257</v>
      </c>
      <c r="D151" s="63" t="s">
        <v>257</v>
      </c>
      <c r="E151" s="63">
        <v>2</v>
      </c>
      <c r="F151" s="63">
        <v>1</v>
      </c>
      <c r="G151" s="63">
        <v>1</v>
      </c>
      <c r="H151" s="63">
        <v>1</v>
      </c>
      <c r="I151" s="63">
        <v>1</v>
      </c>
      <c r="J151" s="63">
        <v>3</v>
      </c>
      <c r="K151" s="72" t="str">
        <f t="shared" si="16"/>
        <v>002.001.001.001.001.003</v>
      </c>
      <c r="L151" s="72">
        <f t="shared" si="17"/>
        <v>1</v>
      </c>
      <c r="M151" s="72">
        <f t="shared" si="18"/>
        <v>5</v>
      </c>
      <c r="N151" s="72" t="b">
        <f t="shared" si="19"/>
        <v>1</v>
      </c>
      <c r="O151" s="72" t="b">
        <f t="shared" si="20"/>
        <v>1</v>
      </c>
      <c r="P151" s="72" t="b">
        <f t="shared" si="21"/>
        <v>1</v>
      </c>
      <c r="Q151" s="72" t="b">
        <f t="shared" si="22"/>
        <v>0</v>
      </c>
      <c r="R151" s="72" t="str">
        <f t="shared" si="23"/>
        <v>2.1.1.1.1.T3</v>
      </c>
      <c r="Z151" s="63">
        <v>1</v>
      </c>
      <c r="AA151" s="63">
        <f>IF(AB151="完了",1,0)</f>
        <v>0</v>
      </c>
      <c r="AB151" s="63" t="s">
        <v>234</v>
      </c>
      <c r="AC151" s="63">
        <f>AM151/IF(AL151+AM151=0,1,AL151+AM151)</f>
        <v>0</v>
      </c>
      <c r="AD151" s="71"/>
      <c r="AE151" s="63">
        <v>1</v>
      </c>
      <c r="AF151" s="63" t="s">
        <v>234</v>
      </c>
      <c r="AG151" s="63" t="s">
        <v>234</v>
      </c>
      <c r="AH151" s="73"/>
      <c r="AI151" s="63"/>
      <c r="AJ151" s="63"/>
      <c r="AK151" s="63"/>
      <c r="AL151" s="63"/>
      <c r="AM151" s="63"/>
      <c r="AN151" s="63"/>
      <c r="AO151" s="63"/>
      <c r="AP151" s="63" t="s">
        <v>234</v>
      </c>
      <c r="AQ151" s="63" t="s">
        <v>234</v>
      </c>
    </row>
    <row r="152" spans="2:43" ht="18" customHeight="1">
      <c r="B152" s="63"/>
      <c r="C152" s="63" t="s">
        <v>257</v>
      </c>
      <c r="D152" s="63" t="s">
        <v>257</v>
      </c>
      <c r="E152" s="63">
        <v>2</v>
      </c>
      <c r="F152" s="63">
        <v>1</v>
      </c>
      <c r="G152" s="63">
        <v>1</v>
      </c>
      <c r="H152" s="63">
        <v>1</v>
      </c>
      <c r="I152" s="63">
        <v>2</v>
      </c>
      <c r="J152" s="63"/>
      <c r="K152" s="72" t="str">
        <f t="shared" si="16"/>
        <v>002.001.001.001.002.---</v>
      </c>
      <c r="L152" s="72">
        <f t="shared" si="17"/>
        <v>1</v>
      </c>
      <c r="M152" s="72">
        <f t="shared" si="18"/>
        <v>5</v>
      </c>
      <c r="N152" s="72" t="b">
        <f t="shared" si="19"/>
        <v>0</v>
      </c>
      <c r="O152" s="72" t="b">
        <f t="shared" si="20"/>
        <v>1</v>
      </c>
      <c r="P152" s="72" t="b">
        <f t="shared" si="21"/>
        <v>1</v>
      </c>
      <c r="Q152" s="72" t="b">
        <f t="shared" si="22"/>
        <v>1</v>
      </c>
      <c r="R152" s="72" t="str">
        <f t="shared" si="23"/>
        <v>2.1.1.1.2</v>
      </c>
      <c r="Z152" s="63">
        <f>SUM(_xlfn._xlws.FILTER(Z8:Z218,(E8:E218=E152)*(F8:F218=F152)*(G8:G218=G152)*(H8:H218=H152)*(I8:I218=I152)*(N8:N218=TRUE)*(O8:O218=TRUE),0))</f>
        <v>3</v>
      </c>
      <c r="AA152" s="63">
        <f>SUM(_xlfn._xlws.FILTER(AA8:AA218,(E8:E218=E152)*(F8:F218=F152)*(G8:G218=G152)*(H8:H218=H152)*(I8:I218=I152)*(N8:N218=TRUE)*(O8:O218=TRUE),0))</f>
        <v>0</v>
      </c>
      <c r="AB152" s="63" t="s">
        <v>234</v>
      </c>
      <c r="AC152" s="63">
        <f>SUM(_xlfn._xlws.FILTER(AC8:AC218,(E8:E218=E152)*(F8:F218=F152)*(G8:G218=G152)*(H8:H218=H152)*(I8:I218=I152)*(N8:N218=TRUE)*(O8:O218=TRUE),0))/IF(IFERROR(COUNT(_xlfn._xlws.FILTER(AC8:AC218,(E8:E218=E152)*(F8:F218=F152)*(G8:G218=G152)*(H8:H218=H152)*(I8:I218=I152)*(N8:N218=TRUE)*(O8:O218=TRUE))),0)=0,1,IFERROR(COUNT(_xlfn._xlws.FILTER(AC8:AC218,(E8:E218=E152)*(F8:F218=F152)*(G8:G218=G152)*(H8:H218=H152)*(I8:I218=I152)*(N8:N218=TRUE)*(O8:O218=TRUE))),0))</f>
        <v>0</v>
      </c>
      <c r="AD152" s="71">
        <f>SUM(_xlfn._xlws.FILTER(AD8:AD218*(AE8:AE218),(E8:E218=E152)*(F8:F218=F152)*(G8:G218=G152)*(H8:H218=H152)*(I8:I218=I152)*(N8:N218=TRUE)*(O8:O218=TRUE),0))/IF(SUM(_xlfn._xlws.FILTER(AE8:AE218,(E8:E218=E152)*(F8:F218=F152)*(G8:G218=G152)*(H8:H218=H152)*(I8:I218=I152)*(N8:N218=TRUE)*(O8:O218=TRUE),0))=0,1,SUM(_xlfn._xlws.FILTER(AE8:AE218,(E8:E218=E152)*(F8:F218=F152)*(G8:G218=G152)*(H8:H218=H152)*(I8:I218=I152)*(N8:N218=TRUE)*(O8:O218=TRUE),0)))</f>
        <v>0</v>
      </c>
      <c r="AE152" s="63">
        <v>1</v>
      </c>
      <c r="AF152" s="63" t="s">
        <v>234</v>
      </c>
      <c r="AG152" s="63" t="s">
        <v>234</v>
      </c>
      <c r="AH152" s="73"/>
      <c r="AI152" s="63">
        <f>SUM(_xlfn._xlws.FILTER(AI8:AI218,(E8:E218=E152)*(F8:F218=F152)*(G8:G218=G152)*(H8:H218=H152)*(I8:I218=I152)*(N8:N218=TRUE)*(O8:O218=TRUE),0))</f>
        <v>0</v>
      </c>
      <c r="AJ152" s="63"/>
      <c r="AK152" s="63"/>
      <c r="AL152" s="63">
        <f>SUM(_xlfn._xlws.FILTER(AL8:AL218,(E8:E218=E152)*(F8:F218=F152)*(G8:G218=G152)*(H8:H218=H152)*(I8:I218=I152)*(N8:N218=TRUE)*(O8:O218=TRUE),0))</f>
        <v>0</v>
      </c>
      <c r="AM152" s="63">
        <f>SUM(_xlfn._xlws.FILTER(AM8:AM218,(E8:E218=E152)*(F8:F218=F152)*(G8:G218=G152)*(H8:H218=H152)*(I8:I218=I152)*(N8:N218=TRUE)*(O8:O218=TRUE),0))</f>
        <v>0</v>
      </c>
      <c r="AN152" s="63"/>
      <c r="AO152" s="63"/>
      <c r="AP152" s="63" t="s">
        <v>234</v>
      </c>
      <c r="AQ152" s="63" t="s">
        <v>234</v>
      </c>
    </row>
    <row r="153" spans="2:43" ht="18" customHeight="1">
      <c r="B153" s="63"/>
      <c r="C153" s="63" t="s">
        <v>257</v>
      </c>
      <c r="D153" s="63" t="s">
        <v>257</v>
      </c>
      <c r="E153" s="63">
        <v>2</v>
      </c>
      <c r="F153" s="63">
        <v>1</v>
      </c>
      <c r="G153" s="63">
        <v>1</v>
      </c>
      <c r="H153" s="63">
        <v>1</v>
      </c>
      <c r="I153" s="63">
        <v>2</v>
      </c>
      <c r="J153" s="63">
        <v>1</v>
      </c>
      <c r="K153" s="72" t="str">
        <f t="shared" si="16"/>
        <v>002.001.001.001.002.001</v>
      </c>
      <c r="L153" s="72">
        <f t="shared" si="17"/>
        <v>1</v>
      </c>
      <c r="M153" s="72">
        <f t="shared" si="18"/>
        <v>5</v>
      </c>
      <c r="N153" s="72" t="b">
        <f t="shared" si="19"/>
        <v>1</v>
      </c>
      <c r="O153" s="72" t="b">
        <f t="shared" si="20"/>
        <v>1</v>
      </c>
      <c r="P153" s="72" t="b">
        <f t="shared" si="21"/>
        <v>1</v>
      </c>
      <c r="Q153" s="72" t="b">
        <f t="shared" si="22"/>
        <v>0</v>
      </c>
      <c r="R153" s="72" t="str">
        <f t="shared" si="23"/>
        <v>2.1.1.1.2.T1</v>
      </c>
      <c r="X153" s="60" t="s">
        <v>253</v>
      </c>
      <c r="Z153" s="63">
        <v>1</v>
      </c>
      <c r="AA153" s="63">
        <f>IF(AB153="完了",1,0)</f>
        <v>0</v>
      </c>
      <c r="AB153" s="63" t="s">
        <v>234</v>
      </c>
      <c r="AC153" s="63">
        <f>AM153/IF(AL153+AM153=0,1,AL153+AM153)</f>
        <v>0</v>
      </c>
      <c r="AD153" s="71"/>
      <c r="AE153" s="63">
        <v>1</v>
      </c>
      <c r="AF153" s="63" t="s">
        <v>234</v>
      </c>
      <c r="AG153" s="63" t="s">
        <v>234</v>
      </c>
      <c r="AH153" s="73"/>
      <c r="AI153" s="63"/>
      <c r="AJ153" s="63"/>
      <c r="AK153" s="63"/>
      <c r="AL153" s="63"/>
      <c r="AM153" s="63"/>
      <c r="AN153" s="63"/>
      <c r="AO153" s="63"/>
      <c r="AP153" s="63" t="s">
        <v>234</v>
      </c>
      <c r="AQ153" s="63" t="s">
        <v>234</v>
      </c>
    </row>
    <row r="154" spans="2:43" ht="18" customHeight="1">
      <c r="B154" s="63"/>
      <c r="C154" s="63" t="s">
        <v>257</v>
      </c>
      <c r="D154" s="63" t="s">
        <v>257</v>
      </c>
      <c r="E154" s="63">
        <v>2</v>
      </c>
      <c r="F154" s="63">
        <v>1</v>
      </c>
      <c r="G154" s="63">
        <v>1</v>
      </c>
      <c r="H154" s="63">
        <v>1</v>
      </c>
      <c r="I154" s="63">
        <v>2</v>
      </c>
      <c r="J154" s="63">
        <v>2</v>
      </c>
      <c r="K154" s="72" t="str">
        <f t="shared" si="16"/>
        <v>002.001.001.001.002.002</v>
      </c>
      <c r="L154" s="72">
        <f t="shared" si="17"/>
        <v>1</v>
      </c>
      <c r="M154" s="72">
        <f t="shared" si="18"/>
        <v>5</v>
      </c>
      <c r="N154" s="72" t="b">
        <f t="shared" si="19"/>
        <v>1</v>
      </c>
      <c r="O154" s="72" t="b">
        <f t="shared" si="20"/>
        <v>1</v>
      </c>
      <c r="P154" s="72" t="b">
        <f t="shared" si="21"/>
        <v>1</v>
      </c>
      <c r="Q154" s="72" t="b">
        <f t="shared" si="22"/>
        <v>0</v>
      </c>
      <c r="R154" s="72" t="str">
        <f t="shared" si="23"/>
        <v>2.1.1.1.2.T2</v>
      </c>
      <c r="X154" s="60" t="s">
        <v>254</v>
      </c>
      <c r="Z154" s="63">
        <v>1</v>
      </c>
      <c r="AA154" s="63">
        <f>IF(AB154="完了",1,0)</f>
        <v>0</v>
      </c>
      <c r="AB154" s="63" t="s">
        <v>234</v>
      </c>
      <c r="AC154" s="63">
        <f>AM154/IF(AL154+AM154=0,1,AL154+AM154)</f>
        <v>0</v>
      </c>
      <c r="AD154" s="71"/>
      <c r="AE154" s="63">
        <v>1</v>
      </c>
      <c r="AF154" s="63" t="s">
        <v>234</v>
      </c>
      <c r="AG154" s="63" t="s">
        <v>234</v>
      </c>
      <c r="AH154" s="73"/>
      <c r="AI154" s="63"/>
      <c r="AJ154" s="63"/>
      <c r="AK154" s="63"/>
      <c r="AL154" s="63"/>
      <c r="AM154" s="63"/>
      <c r="AN154" s="63"/>
      <c r="AO154" s="63"/>
      <c r="AP154" s="63" t="s">
        <v>234</v>
      </c>
      <c r="AQ154" s="63" t="s">
        <v>234</v>
      </c>
    </row>
    <row r="155" spans="2:43" ht="18" customHeight="1">
      <c r="B155" s="63"/>
      <c r="C155" s="63" t="s">
        <v>257</v>
      </c>
      <c r="D155" s="63" t="s">
        <v>257</v>
      </c>
      <c r="E155" s="63">
        <v>2</v>
      </c>
      <c r="F155" s="63">
        <v>1</v>
      </c>
      <c r="G155" s="63">
        <v>1</v>
      </c>
      <c r="H155" s="63">
        <v>1</v>
      </c>
      <c r="I155" s="63">
        <v>2</v>
      </c>
      <c r="J155" s="63">
        <v>3</v>
      </c>
      <c r="K155" s="72" t="str">
        <f t="shared" si="16"/>
        <v>002.001.001.001.002.003</v>
      </c>
      <c r="L155" s="72">
        <f t="shared" si="17"/>
        <v>1</v>
      </c>
      <c r="M155" s="72">
        <f t="shared" si="18"/>
        <v>5</v>
      </c>
      <c r="N155" s="72" t="b">
        <f t="shared" si="19"/>
        <v>1</v>
      </c>
      <c r="O155" s="72" t="b">
        <f t="shared" si="20"/>
        <v>1</v>
      </c>
      <c r="P155" s="72" t="b">
        <f t="shared" si="21"/>
        <v>1</v>
      </c>
      <c r="Q155" s="72" t="b">
        <f t="shared" si="22"/>
        <v>0</v>
      </c>
      <c r="R155" s="72" t="str">
        <f t="shared" si="23"/>
        <v>2.1.1.1.2.T3</v>
      </c>
      <c r="Z155" s="63">
        <v>1</v>
      </c>
      <c r="AA155" s="63">
        <f>IF(AB155="完了",1,0)</f>
        <v>0</v>
      </c>
      <c r="AB155" s="63" t="s">
        <v>234</v>
      </c>
      <c r="AC155" s="63">
        <f>AM155/IF(AL155+AM155=0,1,AL155+AM155)</f>
        <v>0</v>
      </c>
      <c r="AD155" s="71"/>
      <c r="AE155" s="63">
        <v>1</v>
      </c>
      <c r="AF155" s="63" t="s">
        <v>234</v>
      </c>
      <c r="AG155" s="63" t="s">
        <v>234</v>
      </c>
      <c r="AH155" s="73"/>
      <c r="AI155" s="63"/>
      <c r="AJ155" s="63"/>
      <c r="AK155" s="63"/>
      <c r="AL155" s="63"/>
      <c r="AM155" s="63"/>
      <c r="AN155" s="63"/>
      <c r="AO155" s="63"/>
      <c r="AP155" s="63" t="s">
        <v>234</v>
      </c>
      <c r="AQ155" s="63" t="s">
        <v>234</v>
      </c>
    </row>
    <row r="156" spans="2:43" ht="18" customHeight="1">
      <c r="B156" s="63"/>
      <c r="C156" s="63" t="s">
        <v>257</v>
      </c>
      <c r="D156" s="63" t="s">
        <v>257</v>
      </c>
      <c r="E156" s="63">
        <v>2</v>
      </c>
      <c r="F156" s="63">
        <v>1</v>
      </c>
      <c r="G156" s="63">
        <v>1</v>
      </c>
      <c r="H156" s="63">
        <v>2</v>
      </c>
      <c r="I156" s="63"/>
      <c r="J156" s="63"/>
      <c r="K156" s="72" t="str">
        <f t="shared" si="16"/>
        <v>002.001.001.002.---.---</v>
      </c>
      <c r="L156" s="72">
        <f t="shared" si="17"/>
        <v>1</v>
      </c>
      <c r="M156" s="72">
        <f t="shared" si="18"/>
        <v>4</v>
      </c>
      <c r="N156" s="72" t="b">
        <f t="shared" si="19"/>
        <v>0</v>
      </c>
      <c r="O156" s="72" t="b">
        <f t="shared" si="20"/>
        <v>1</v>
      </c>
      <c r="P156" s="72" t="b">
        <f t="shared" si="21"/>
        <v>1</v>
      </c>
      <c r="Q156" s="72" t="b">
        <f t="shared" si="22"/>
        <v>1</v>
      </c>
      <c r="R156" s="72" t="str">
        <f t="shared" si="23"/>
        <v>2.1.1.2</v>
      </c>
      <c r="Z156" s="63">
        <f>SUM(_xlfn._xlws.FILTER(Z8:Z218,(E8:E218=E156)*(F8:F218=F156)*(G8:G218=G156)*(H8:H218=H156)*(ISNUMBER(I8:I218))*(N8:N218=FALSE)*(O8:O218=TRUE),0))+SUM(_xlfn._xlws.FILTER(Z8:Z218,(E8:E218=E156)*(F8:F218=F156)*(G8:G218=G156)*(H8:H218=H156)*(I8:I218="")*(N8:N218=TRUE)*(O8:O218=TRUE),0))</f>
        <v>9</v>
      </c>
      <c r="AA156" s="63">
        <f>SUM(_xlfn._xlws.FILTER(AA8:AA218,(E8:E218=E156)*(F8:F218=F156)*(G8:G218=G156)*(H8:H218=H156)*(ISNUMBER(I8:I218))*(N8:N218=FALSE)*(O8:O218=TRUE),0))+SUM(_xlfn._xlws.FILTER(AA8:AA218,(E8:E218=E156)*(F8:F218=F156)*(G8:G218=G156)*(H8:H218=H156)*(I8:I218="")*(N8:N218=TRUE)*(O8:O218=TRUE),0))</f>
        <v>1</v>
      </c>
      <c r="AB156" s="63" t="s">
        <v>234</v>
      </c>
      <c r="AC156" s="63">
        <f>(SUM(_xlfn._xlws.FILTER(AC8:AC218,(E8:E218=E156)*(F8:F218=F156)*(G8:G218=G156)*(H8:H218=H156)*(ISNUMBER(I8:I218))*(N8:N218=FALSE)*(O8:O218=TRUE),0))+SUM(_xlfn._xlws.FILTER(AC8:AC218,(E8:E218=E156)*(F8:F218=F156)*(G8:G218=G156)*(H8:H218=H156)*(I8:I218="")*(N8:N218=TRUE)*(O8:O218=TRUE),0)))/IF(IFERROR(COUNT(_xlfn._xlws.FILTER(AC8:AC218,(E8:E218=E156)*(F8:F218=F156)*(G8:G218=G156)*(H8:H218=H156)*(ISNUMBER(I8:I218))*(N8:N218=FALSE)*(O8:O218=TRUE))),0)+IFERROR(COUNT(_xlfn._xlws.FILTER(AC8:AC218,(E8:E218=E156)*(F8:F218=F156)*(G8:G218=G156)*(H8:H218=H156)*(I8:I218="")*(N8:N218=TRUE)*(O8:O218=TRUE))),0)=0,1,IFERROR(COUNT(_xlfn._xlws.FILTER(AC8:AC218,(E8:E218=E156)*(F8:F218=F156)*(G8:G218=G156)*(H8:H218=H156)*(ISNUMBER(I8:I218))*(N8:N218=FALSE)*(O8:O218=TRUE))),0)+IFERROR(COUNT(_xlfn._xlws.FILTER(AC8:AC218,(E8:E218=E156)*(F8:F218=F156)*(G8:G218=G156)*(H8:H218=H156)*(I8:I218="")*(N8:N218=TRUE)*(O8:O218=TRUE))),0))</f>
        <v>0</v>
      </c>
      <c r="AD156" s="71">
        <f>(SUM(_xlfn._xlws.FILTER(AD8:AD218*(AE8:AE218),(E8:E218=E156)*(F8:F218=F156)*(G8:G218=G156)*(H8:H218=H156)*(ISNUMBER(I8:I218))*(N8:N218=FALSE)*(O8:O218=TRUE),0))+SUM(_xlfn._xlws.FILTER(AD8:AD218*(AE8:AE218),(E8:E218=E156)*(F8:F218=F156)*(G8:G218=G156)*(H8:H218=H156)*(I8:I218="")*(N8:N218=TRUE)*(O8:O218=TRUE),0)))/IF(SUM(_xlfn._xlws.FILTER(AE8:AE218,(E8:E218=E156)*(F8:F218=F156)*(G8:G218=G156)*(H8:H218=H156)*(ISNUMBER(I8:I218))*(N8:N218=FALSE)*(O8:O218=TRUE),0))+SUM(_xlfn._xlws.FILTER(AE8:AE218,(E8:E218=E156)*(F8:F218=F156)*(G8:G218=G156)*(H8:H218=H156)*(I8:I218="")*(N8:N218=TRUE)*(O8:O218=TRUE),0))=0,1,SUM(_xlfn._xlws.FILTER(AE8:AE218,(E8:E218=E156)*(F8:F218=F156)*(G8:G218=G156)*(H8:H218=H156)*(ISNUMBER(I8:I218))*(N8:N218=FALSE)*(O8:O218=TRUE),0))+SUM(_xlfn._xlws.FILTER(AE8:AE218,(E8:E218=E156)*(F8:F218=F156)*(G8:G218=G156)*(H8:H218=H156)*(I8:I218="")*(N8:N218=TRUE)*(O8:O218=TRUE),0)))</f>
        <v>0</v>
      </c>
      <c r="AE156" s="63">
        <v>1</v>
      </c>
      <c r="AF156" s="63" t="s">
        <v>234</v>
      </c>
      <c r="AG156" s="63" t="s">
        <v>234</v>
      </c>
      <c r="AH156" s="73"/>
      <c r="AI156" s="63">
        <f>SUM(_xlfn._xlws.FILTER(AI8:AI218,(E8:E218=E156)*(F8:F218=F156)*(G8:G218=G156)*(H8:H218=H156)*(ISNUMBER(I8:I218))*(N8:N218=FALSE)*(O8:O218=TRUE),0))+SUM(_xlfn._xlws.FILTER(AI8:AI218,(E8:E218=E156)*(F8:F218=F156)*(G8:G218=G156)*(H8:H218=H156)*(I8:I218="")*(N8:N218=TRUE)*(O8:O218=TRUE),0))</f>
        <v>0</v>
      </c>
      <c r="AJ156" s="63"/>
      <c r="AK156" s="63"/>
      <c r="AL156" s="63">
        <f>SUM(_xlfn._xlws.FILTER(AL8:AL218,(E8:E218=E156)*(F8:F218=F156)*(G8:G218=G156)*(H8:H218=H156)*(ISNUMBER(I8:I218))*(N8:N218=FALSE)*(O8:O218=TRUE),0))+SUM(_xlfn._xlws.FILTER(AL8:AL218,(E8:E218=E156)*(F8:F218=F156)*(G8:G218=G156)*(H8:H218=H156)*(I8:I218="")*(N8:N218=TRUE)*(O8:O218=TRUE),0))</f>
        <v>0</v>
      </c>
      <c r="AM156" s="63">
        <f>SUM(_xlfn._xlws.FILTER(AM8:AM218,(E8:E218=E156)*(F8:F218=F156)*(G8:G218=G156)*(H8:H218=H156)*(ISNUMBER(I8:I218))*(N8:N218=FALSE)*(O8:O218=TRUE),0))+SUM(_xlfn._xlws.FILTER(AM8:AM218,(E8:E218=E156)*(F8:F218=F156)*(G8:G218=G156)*(H8:H218=H156)*(I8:I218="")*(N8:N218=TRUE)*(O8:O218=TRUE),0))</f>
        <v>0</v>
      </c>
      <c r="AN156" s="63"/>
      <c r="AO156" s="63"/>
      <c r="AP156" s="63" t="s">
        <v>234</v>
      </c>
      <c r="AQ156" s="63" t="s">
        <v>234</v>
      </c>
    </row>
    <row r="157" spans="2:43" ht="18" customHeight="1">
      <c r="B157" s="63"/>
      <c r="C157" s="63" t="s">
        <v>257</v>
      </c>
      <c r="D157" s="63" t="s">
        <v>257</v>
      </c>
      <c r="E157" s="63">
        <v>2</v>
      </c>
      <c r="F157" s="63">
        <v>1</v>
      </c>
      <c r="G157" s="63">
        <v>1</v>
      </c>
      <c r="H157" s="63">
        <v>2</v>
      </c>
      <c r="I157" s="63"/>
      <c r="J157" s="63">
        <v>1</v>
      </c>
      <c r="K157" s="72" t="str">
        <f t="shared" si="16"/>
        <v>002.001.001.002.---.001</v>
      </c>
      <c r="L157" s="72">
        <f t="shared" si="17"/>
        <v>1</v>
      </c>
      <c r="M157" s="72">
        <f t="shared" si="18"/>
        <v>4</v>
      </c>
      <c r="N157" s="72" t="b">
        <f t="shared" si="19"/>
        <v>1</v>
      </c>
      <c r="O157" s="72" t="b">
        <f t="shared" si="20"/>
        <v>1</v>
      </c>
      <c r="P157" s="72" t="b">
        <f t="shared" si="21"/>
        <v>1</v>
      </c>
      <c r="Q157" s="72" t="b">
        <f t="shared" si="22"/>
        <v>0</v>
      </c>
      <c r="R157" s="72" t="str">
        <f t="shared" si="23"/>
        <v>2.1.1.2.T1</v>
      </c>
      <c r="X157" s="60" t="s">
        <v>248</v>
      </c>
      <c r="Z157" s="63">
        <v>1</v>
      </c>
      <c r="AA157" s="63">
        <f>IF(AB157="完了",1,0)</f>
        <v>1</v>
      </c>
      <c r="AB157" s="63" t="s">
        <v>204</v>
      </c>
      <c r="AC157" s="63">
        <f>AM157/IF(AL157+AM157=0,1,AL157+AM157)</f>
        <v>0</v>
      </c>
      <c r="AD157" s="71"/>
      <c r="AE157" s="63">
        <v>1</v>
      </c>
      <c r="AF157" s="63" t="s">
        <v>234</v>
      </c>
      <c r="AG157" s="63" t="s">
        <v>234</v>
      </c>
      <c r="AH157" s="73"/>
      <c r="AI157" s="63"/>
      <c r="AJ157" s="63"/>
      <c r="AK157" s="63"/>
      <c r="AL157" s="63"/>
      <c r="AM157" s="63"/>
      <c r="AN157" s="63"/>
      <c r="AO157" s="63"/>
      <c r="AP157" s="63" t="s">
        <v>234</v>
      </c>
      <c r="AQ157" s="63" t="s">
        <v>234</v>
      </c>
    </row>
    <row r="158" spans="2:43" ht="18" customHeight="1">
      <c r="B158" s="63"/>
      <c r="C158" s="63" t="s">
        <v>257</v>
      </c>
      <c r="D158" s="63" t="s">
        <v>257</v>
      </c>
      <c r="E158" s="63">
        <v>2</v>
      </c>
      <c r="F158" s="63">
        <v>1</v>
      </c>
      <c r="G158" s="63">
        <v>1</v>
      </c>
      <c r="H158" s="63">
        <v>2</v>
      </c>
      <c r="I158" s="63"/>
      <c r="J158" s="63">
        <v>2</v>
      </c>
      <c r="K158" s="72" t="str">
        <f t="shared" si="16"/>
        <v>002.001.001.002.---.002</v>
      </c>
      <c r="L158" s="72">
        <f t="shared" si="17"/>
        <v>1</v>
      </c>
      <c r="M158" s="72">
        <f t="shared" si="18"/>
        <v>4</v>
      </c>
      <c r="N158" s="72" t="b">
        <f t="shared" si="19"/>
        <v>1</v>
      </c>
      <c r="O158" s="72" t="b">
        <f t="shared" si="20"/>
        <v>1</v>
      </c>
      <c r="P158" s="72" t="b">
        <f t="shared" si="21"/>
        <v>1</v>
      </c>
      <c r="Q158" s="72" t="b">
        <f t="shared" si="22"/>
        <v>0</v>
      </c>
      <c r="R158" s="72" t="str">
        <f t="shared" si="23"/>
        <v>2.1.1.2.T2</v>
      </c>
      <c r="X158" s="60" t="s">
        <v>249</v>
      </c>
      <c r="Z158" s="63">
        <v>1</v>
      </c>
      <c r="AA158" s="63">
        <f>IF(AB158="完了",1,0)</f>
        <v>0</v>
      </c>
      <c r="AB158" s="63" t="s">
        <v>250</v>
      </c>
      <c r="AC158" s="63">
        <f>AM158/IF(AL158+AM158=0,1,AL158+AM158)</f>
        <v>0</v>
      </c>
      <c r="AD158" s="71"/>
      <c r="AE158" s="63">
        <v>1</v>
      </c>
      <c r="AF158" s="63" t="s">
        <v>234</v>
      </c>
      <c r="AG158" s="63" t="s">
        <v>234</v>
      </c>
      <c r="AH158" s="73"/>
      <c r="AI158" s="63"/>
      <c r="AJ158" s="63"/>
      <c r="AK158" s="63"/>
      <c r="AL158" s="63"/>
      <c r="AM158" s="63"/>
      <c r="AN158" s="63"/>
      <c r="AO158" s="63"/>
      <c r="AP158" s="63" t="s">
        <v>234</v>
      </c>
      <c r="AQ158" s="63" t="s">
        <v>234</v>
      </c>
    </row>
    <row r="159" spans="2:43" ht="18" customHeight="1">
      <c r="B159" s="63"/>
      <c r="C159" s="63" t="s">
        <v>257</v>
      </c>
      <c r="D159" s="63" t="s">
        <v>257</v>
      </c>
      <c r="E159" s="63">
        <v>2</v>
      </c>
      <c r="F159" s="63">
        <v>1</v>
      </c>
      <c r="G159" s="63">
        <v>1</v>
      </c>
      <c r="H159" s="63">
        <v>2</v>
      </c>
      <c r="I159" s="63"/>
      <c r="J159" s="63">
        <v>3</v>
      </c>
      <c r="K159" s="72" t="str">
        <f t="shared" si="16"/>
        <v>002.001.001.002.---.003</v>
      </c>
      <c r="L159" s="72">
        <f t="shared" si="17"/>
        <v>1</v>
      </c>
      <c r="M159" s="72">
        <f t="shared" si="18"/>
        <v>4</v>
      </c>
      <c r="N159" s="72" t="b">
        <f t="shared" si="19"/>
        <v>1</v>
      </c>
      <c r="O159" s="72" t="b">
        <f t="shared" si="20"/>
        <v>1</v>
      </c>
      <c r="P159" s="72" t="b">
        <f t="shared" si="21"/>
        <v>1</v>
      </c>
      <c r="Q159" s="72" t="b">
        <f t="shared" si="22"/>
        <v>0</v>
      </c>
      <c r="R159" s="72" t="str">
        <f t="shared" si="23"/>
        <v>2.1.1.2.T3</v>
      </c>
      <c r="X159" s="60" t="s">
        <v>251</v>
      </c>
      <c r="Z159" s="63">
        <v>1</v>
      </c>
      <c r="AA159" s="63">
        <f>IF(AB159="完了",1,0)</f>
        <v>0</v>
      </c>
      <c r="AB159" s="63" t="s">
        <v>234</v>
      </c>
      <c r="AC159" s="63">
        <f>AM159/IF(AL159+AM159=0,1,AL159+AM159)</f>
        <v>0</v>
      </c>
      <c r="AD159" s="71"/>
      <c r="AE159" s="63">
        <v>1</v>
      </c>
      <c r="AF159" s="63" t="s">
        <v>234</v>
      </c>
      <c r="AG159" s="63" t="s">
        <v>234</v>
      </c>
      <c r="AH159" s="73"/>
      <c r="AI159" s="63"/>
      <c r="AJ159" s="63"/>
      <c r="AK159" s="63"/>
      <c r="AL159" s="63"/>
      <c r="AM159" s="63"/>
      <c r="AN159" s="63"/>
      <c r="AO159" s="63"/>
      <c r="AP159" s="63" t="s">
        <v>234</v>
      </c>
      <c r="AQ159" s="63" t="s">
        <v>234</v>
      </c>
    </row>
    <row r="160" spans="2:43" ht="18" customHeight="1">
      <c r="B160" s="63"/>
      <c r="C160" s="63" t="s">
        <v>257</v>
      </c>
      <c r="D160" s="63" t="s">
        <v>257</v>
      </c>
      <c r="E160" s="63">
        <v>2</v>
      </c>
      <c r="F160" s="63">
        <v>1</v>
      </c>
      <c r="G160" s="63">
        <v>1</v>
      </c>
      <c r="H160" s="63">
        <v>2</v>
      </c>
      <c r="I160" s="63">
        <v>1</v>
      </c>
      <c r="J160" s="63"/>
      <c r="K160" s="72" t="str">
        <f t="shared" si="16"/>
        <v>002.001.001.002.001.---</v>
      </c>
      <c r="L160" s="72">
        <f t="shared" si="17"/>
        <v>1</v>
      </c>
      <c r="M160" s="72">
        <f t="shared" si="18"/>
        <v>5</v>
      </c>
      <c r="N160" s="72" t="b">
        <f t="shared" si="19"/>
        <v>0</v>
      </c>
      <c r="O160" s="72" t="b">
        <f t="shared" si="20"/>
        <v>1</v>
      </c>
      <c r="P160" s="72" t="b">
        <f t="shared" si="21"/>
        <v>1</v>
      </c>
      <c r="Q160" s="72" t="b">
        <f t="shared" si="22"/>
        <v>1</v>
      </c>
      <c r="R160" s="72" t="str">
        <f t="shared" si="23"/>
        <v>2.1.1.2.1</v>
      </c>
      <c r="W160" s="60" t="s">
        <v>252</v>
      </c>
      <c r="Z160" s="63">
        <f>SUM(_xlfn._xlws.FILTER(Z8:Z218,(E8:E218=E160)*(F8:F218=F160)*(G8:G218=G160)*(H8:H218=H160)*(I8:I218=I160)*(N8:N218=TRUE)*(O8:O218=TRUE),0))</f>
        <v>3</v>
      </c>
      <c r="AA160" s="63">
        <f>SUM(_xlfn._xlws.FILTER(AA8:AA218,(E8:E218=E160)*(F8:F218=F160)*(G8:G218=G160)*(H8:H218=H160)*(I8:I218=I160)*(N8:N218=TRUE)*(O8:O218=TRUE),0))</f>
        <v>0</v>
      </c>
      <c r="AB160" s="63" t="s">
        <v>234</v>
      </c>
      <c r="AC160" s="63">
        <f>SUM(_xlfn._xlws.FILTER(AC8:AC218,(E8:E218=E160)*(F8:F218=F160)*(G8:G218=G160)*(H8:H218=H160)*(I8:I218=I160)*(N8:N218=TRUE)*(O8:O218=TRUE),0))/IF(IFERROR(COUNT(_xlfn._xlws.FILTER(AC8:AC218,(E8:E218=E160)*(F8:F218=F160)*(G8:G218=G160)*(H8:H218=H160)*(I8:I218=I160)*(N8:N218=TRUE)*(O8:O218=TRUE))),0)=0,1,IFERROR(COUNT(_xlfn._xlws.FILTER(AC8:AC218,(E8:E218=E160)*(F8:F218=F160)*(G8:G218=G160)*(H8:H218=H160)*(I8:I218=I160)*(N8:N218=TRUE)*(O8:O218=TRUE))),0))</f>
        <v>0</v>
      </c>
      <c r="AD160" s="71">
        <f>SUM(_xlfn._xlws.FILTER(AD8:AD218*(AE8:AE218),(E8:E218=E160)*(F8:F218=F160)*(G8:G218=G160)*(H8:H218=H160)*(I8:I218=I160)*(N8:N218=TRUE)*(O8:O218=TRUE),0))/IF(SUM(_xlfn._xlws.FILTER(AE8:AE218,(E8:E218=E160)*(F8:F218=F160)*(G8:G218=G160)*(H8:H218=H160)*(I8:I218=I160)*(N8:N218=TRUE)*(O8:O218=TRUE),0))=0,1,SUM(_xlfn._xlws.FILTER(AE8:AE218,(E8:E218=E160)*(F8:F218=F160)*(G8:G218=G160)*(H8:H218=H160)*(I8:I218=I160)*(N8:N218=TRUE)*(O8:O218=TRUE),0)))</f>
        <v>0</v>
      </c>
      <c r="AE160" s="63">
        <v>1</v>
      </c>
      <c r="AF160" s="63" t="s">
        <v>234</v>
      </c>
      <c r="AG160" s="63" t="s">
        <v>234</v>
      </c>
      <c r="AH160" s="73"/>
      <c r="AI160" s="63">
        <f>SUM(_xlfn._xlws.FILTER(AI8:AI218,(E8:E218=E160)*(F8:F218=F160)*(G8:G218=G160)*(H8:H218=H160)*(I8:I218=I160)*(N8:N218=TRUE)*(O8:O218=TRUE),0))</f>
        <v>0</v>
      </c>
      <c r="AJ160" s="63"/>
      <c r="AK160" s="63"/>
      <c r="AL160" s="63">
        <f>SUM(_xlfn._xlws.FILTER(AL8:AL218,(E8:E218=E160)*(F8:F218=F160)*(G8:G218=G160)*(H8:H218=H160)*(I8:I218=I160)*(N8:N218=TRUE)*(O8:O218=TRUE),0))</f>
        <v>0</v>
      </c>
      <c r="AM160" s="63">
        <f>SUM(_xlfn._xlws.FILTER(AM8:AM218,(E8:E218=E160)*(F8:F218=F160)*(G8:G218=G160)*(H8:H218=H160)*(I8:I218=I160)*(N8:N218=TRUE)*(O8:O218=TRUE),0))</f>
        <v>0</v>
      </c>
      <c r="AN160" s="63"/>
      <c r="AO160" s="63"/>
      <c r="AP160" s="63" t="s">
        <v>234</v>
      </c>
      <c r="AQ160" s="63" t="s">
        <v>234</v>
      </c>
    </row>
    <row r="161" spans="2:43" ht="18" customHeight="1">
      <c r="B161" s="63"/>
      <c r="C161" s="63" t="s">
        <v>257</v>
      </c>
      <c r="D161" s="63" t="s">
        <v>257</v>
      </c>
      <c r="E161" s="63">
        <v>2</v>
      </c>
      <c r="F161" s="63">
        <v>1</v>
      </c>
      <c r="G161" s="63">
        <v>1</v>
      </c>
      <c r="H161" s="63">
        <v>2</v>
      </c>
      <c r="I161" s="63">
        <v>1</v>
      </c>
      <c r="J161" s="63">
        <v>1</v>
      </c>
      <c r="K161" s="72" t="str">
        <f t="shared" si="16"/>
        <v>002.001.001.002.001.001</v>
      </c>
      <c r="L161" s="72">
        <f t="shared" si="17"/>
        <v>1</v>
      </c>
      <c r="M161" s="72">
        <f t="shared" si="18"/>
        <v>5</v>
      </c>
      <c r="N161" s="72" t="b">
        <f t="shared" si="19"/>
        <v>1</v>
      </c>
      <c r="O161" s="72" t="b">
        <f t="shared" si="20"/>
        <v>1</v>
      </c>
      <c r="P161" s="72" t="b">
        <f t="shared" si="21"/>
        <v>1</v>
      </c>
      <c r="Q161" s="72" t="b">
        <f t="shared" si="22"/>
        <v>0</v>
      </c>
      <c r="R161" s="72" t="str">
        <f t="shared" si="23"/>
        <v>2.1.1.2.1.T1</v>
      </c>
      <c r="X161" s="60" t="s">
        <v>253</v>
      </c>
      <c r="Z161" s="63">
        <v>1</v>
      </c>
      <c r="AA161" s="63">
        <f>IF(AB161="完了",1,0)</f>
        <v>0</v>
      </c>
      <c r="AB161" s="63" t="s">
        <v>234</v>
      </c>
      <c r="AC161" s="63">
        <f>AM161/IF(AL161+AM161=0,1,AL161+AM161)</f>
        <v>0</v>
      </c>
      <c r="AD161" s="71"/>
      <c r="AE161" s="63">
        <v>1</v>
      </c>
      <c r="AF161" s="63" t="s">
        <v>234</v>
      </c>
      <c r="AG161" s="63" t="s">
        <v>234</v>
      </c>
      <c r="AH161" s="73"/>
      <c r="AI161" s="63"/>
      <c r="AJ161" s="63"/>
      <c r="AK161" s="63"/>
      <c r="AL161" s="63"/>
      <c r="AM161" s="63"/>
      <c r="AN161" s="63"/>
      <c r="AO161" s="63"/>
      <c r="AP161" s="63" t="s">
        <v>234</v>
      </c>
      <c r="AQ161" s="63" t="s">
        <v>234</v>
      </c>
    </row>
    <row r="162" spans="2:43" ht="18" customHeight="1">
      <c r="B162" s="63"/>
      <c r="C162" s="63" t="s">
        <v>257</v>
      </c>
      <c r="D162" s="63" t="s">
        <v>257</v>
      </c>
      <c r="E162" s="63">
        <v>2</v>
      </c>
      <c r="F162" s="63">
        <v>1</v>
      </c>
      <c r="G162" s="63">
        <v>1</v>
      </c>
      <c r="H162" s="63">
        <v>2</v>
      </c>
      <c r="I162" s="63">
        <v>1</v>
      </c>
      <c r="J162" s="63">
        <v>2</v>
      </c>
      <c r="K162" s="72" t="str">
        <f t="shared" si="16"/>
        <v>002.001.001.002.001.002</v>
      </c>
      <c r="L162" s="72">
        <f t="shared" si="17"/>
        <v>1</v>
      </c>
      <c r="M162" s="72">
        <f t="shared" si="18"/>
        <v>5</v>
      </c>
      <c r="N162" s="72" t="b">
        <f t="shared" si="19"/>
        <v>1</v>
      </c>
      <c r="O162" s="72" t="b">
        <f t="shared" si="20"/>
        <v>1</v>
      </c>
      <c r="P162" s="72" t="b">
        <f t="shared" si="21"/>
        <v>1</v>
      </c>
      <c r="Q162" s="72" t="b">
        <f t="shared" si="22"/>
        <v>0</v>
      </c>
      <c r="R162" s="72" t="str">
        <f t="shared" si="23"/>
        <v>2.1.1.2.1.T2</v>
      </c>
      <c r="X162" s="60" t="s">
        <v>254</v>
      </c>
      <c r="Z162" s="63">
        <v>1</v>
      </c>
      <c r="AA162" s="63">
        <f>IF(AB162="完了",1,0)</f>
        <v>0</v>
      </c>
      <c r="AB162" s="63" t="s">
        <v>234</v>
      </c>
      <c r="AC162" s="63">
        <f>AM162/IF(AL162+AM162=0,1,AL162+AM162)</f>
        <v>0</v>
      </c>
      <c r="AD162" s="71"/>
      <c r="AE162" s="63">
        <v>1</v>
      </c>
      <c r="AF162" s="63" t="s">
        <v>234</v>
      </c>
      <c r="AG162" s="63" t="s">
        <v>234</v>
      </c>
      <c r="AH162" s="73"/>
      <c r="AI162" s="63"/>
      <c r="AJ162" s="63"/>
      <c r="AK162" s="63"/>
      <c r="AL162" s="63"/>
      <c r="AM162" s="63"/>
      <c r="AN162" s="63"/>
      <c r="AO162" s="63"/>
      <c r="AP162" s="63" t="s">
        <v>234</v>
      </c>
      <c r="AQ162" s="63" t="s">
        <v>234</v>
      </c>
    </row>
    <row r="163" spans="2:43" ht="18" customHeight="1">
      <c r="B163" s="63"/>
      <c r="C163" s="63" t="s">
        <v>257</v>
      </c>
      <c r="D163" s="63" t="s">
        <v>257</v>
      </c>
      <c r="E163" s="63">
        <v>2</v>
      </c>
      <c r="F163" s="63">
        <v>1</v>
      </c>
      <c r="G163" s="63">
        <v>1</v>
      </c>
      <c r="H163" s="63">
        <v>2</v>
      </c>
      <c r="I163" s="63">
        <v>1</v>
      </c>
      <c r="J163" s="63">
        <v>3</v>
      </c>
      <c r="K163" s="72" t="str">
        <f t="shared" si="16"/>
        <v>002.001.001.002.001.003</v>
      </c>
      <c r="L163" s="72">
        <f t="shared" si="17"/>
        <v>1</v>
      </c>
      <c r="M163" s="72">
        <f t="shared" si="18"/>
        <v>5</v>
      </c>
      <c r="N163" s="72" t="b">
        <f t="shared" si="19"/>
        <v>1</v>
      </c>
      <c r="O163" s="72" t="b">
        <f t="shared" si="20"/>
        <v>1</v>
      </c>
      <c r="P163" s="72" t="b">
        <f t="shared" si="21"/>
        <v>1</v>
      </c>
      <c r="Q163" s="72" t="b">
        <f t="shared" si="22"/>
        <v>0</v>
      </c>
      <c r="R163" s="72" t="str">
        <f t="shared" si="23"/>
        <v>2.1.1.2.1.T3</v>
      </c>
      <c r="Z163" s="63">
        <v>1</v>
      </c>
      <c r="AA163" s="63">
        <f>IF(AB163="完了",1,0)</f>
        <v>0</v>
      </c>
      <c r="AB163" s="63" t="s">
        <v>234</v>
      </c>
      <c r="AC163" s="63">
        <f>AM163/IF(AL163+AM163=0,1,AL163+AM163)</f>
        <v>0</v>
      </c>
      <c r="AD163" s="71"/>
      <c r="AE163" s="63">
        <v>1</v>
      </c>
      <c r="AF163" s="63" t="s">
        <v>234</v>
      </c>
      <c r="AG163" s="63" t="s">
        <v>234</v>
      </c>
      <c r="AH163" s="73"/>
      <c r="AI163" s="63"/>
      <c r="AJ163" s="63"/>
      <c r="AK163" s="63"/>
      <c r="AL163" s="63"/>
      <c r="AM163" s="63"/>
      <c r="AN163" s="63"/>
      <c r="AO163" s="63"/>
      <c r="AP163" s="63" t="s">
        <v>234</v>
      </c>
      <c r="AQ163" s="63" t="s">
        <v>234</v>
      </c>
    </row>
    <row r="164" spans="2:43" ht="18" customHeight="1">
      <c r="B164" s="63"/>
      <c r="C164" s="63" t="s">
        <v>257</v>
      </c>
      <c r="D164" s="63" t="s">
        <v>257</v>
      </c>
      <c r="E164" s="63">
        <v>2</v>
      </c>
      <c r="F164" s="63">
        <v>1</v>
      </c>
      <c r="G164" s="63">
        <v>1</v>
      </c>
      <c r="H164" s="63">
        <v>2</v>
      </c>
      <c r="I164" s="63">
        <v>2</v>
      </c>
      <c r="J164" s="63"/>
      <c r="K164" s="72" t="str">
        <f t="shared" si="16"/>
        <v>002.001.001.002.002.---</v>
      </c>
      <c r="L164" s="72">
        <f t="shared" si="17"/>
        <v>1</v>
      </c>
      <c r="M164" s="72">
        <f t="shared" si="18"/>
        <v>5</v>
      </c>
      <c r="N164" s="72" t="b">
        <f t="shared" si="19"/>
        <v>0</v>
      </c>
      <c r="O164" s="72" t="b">
        <f t="shared" si="20"/>
        <v>1</v>
      </c>
      <c r="P164" s="72" t="b">
        <f t="shared" si="21"/>
        <v>1</v>
      </c>
      <c r="Q164" s="72" t="b">
        <f t="shared" si="22"/>
        <v>1</v>
      </c>
      <c r="R164" s="72" t="str">
        <f t="shared" si="23"/>
        <v>2.1.1.2.2</v>
      </c>
      <c r="Z164" s="63">
        <f>SUM(_xlfn._xlws.FILTER(Z8:Z218,(E8:E218=E164)*(F8:F218=F164)*(G8:G218=G164)*(H8:H218=H164)*(I8:I218=I164)*(N8:N218=TRUE)*(O8:O218=TRUE),0))</f>
        <v>3</v>
      </c>
      <c r="AA164" s="63">
        <f>SUM(_xlfn._xlws.FILTER(AA8:AA218,(E8:E218=E164)*(F8:F218=F164)*(G8:G218=G164)*(H8:H218=H164)*(I8:I218=I164)*(N8:N218=TRUE)*(O8:O218=TRUE),0))</f>
        <v>0</v>
      </c>
      <c r="AB164" s="63" t="s">
        <v>234</v>
      </c>
      <c r="AC164" s="63">
        <f>SUM(_xlfn._xlws.FILTER(AC8:AC218,(E8:E218=E164)*(F8:F218=F164)*(G8:G218=G164)*(H8:H218=H164)*(I8:I218=I164)*(N8:N218=TRUE)*(O8:O218=TRUE),0))/IF(IFERROR(COUNT(_xlfn._xlws.FILTER(AC8:AC218,(E8:E218=E164)*(F8:F218=F164)*(G8:G218=G164)*(H8:H218=H164)*(I8:I218=I164)*(N8:N218=TRUE)*(O8:O218=TRUE))),0)=0,1,IFERROR(COUNT(_xlfn._xlws.FILTER(AC8:AC218,(E8:E218=E164)*(F8:F218=F164)*(G8:G218=G164)*(H8:H218=H164)*(I8:I218=I164)*(N8:N218=TRUE)*(O8:O218=TRUE))),0))</f>
        <v>0</v>
      </c>
      <c r="AD164" s="71">
        <f>SUM(_xlfn._xlws.FILTER(AD8:AD218*(AE8:AE218),(E8:E218=E164)*(F8:F218=F164)*(G8:G218=G164)*(H8:H218=H164)*(I8:I218=I164)*(N8:N218=TRUE)*(O8:O218=TRUE),0))/IF(SUM(_xlfn._xlws.FILTER(AE8:AE218,(E8:E218=E164)*(F8:F218=F164)*(G8:G218=G164)*(H8:H218=H164)*(I8:I218=I164)*(N8:N218=TRUE)*(O8:O218=TRUE),0))=0,1,SUM(_xlfn._xlws.FILTER(AE8:AE218,(E8:E218=E164)*(F8:F218=F164)*(G8:G218=G164)*(H8:H218=H164)*(I8:I218=I164)*(N8:N218=TRUE)*(O8:O218=TRUE),0)))</f>
        <v>0</v>
      </c>
      <c r="AE164" s="63">
        <v>1</v>
      </c>
      <c r="AF164" s="63" t="s">
        <v>234</v>
      </c>
      <c r="AG164" s="63" t="s">
        <v>234</v>
      </c>
      <c r="AH164" s="73"/>
      <c r="AI164" s="63">
        <f>SUM(_xlfn._xlws.FILTER(AI8:AI218,(E8:E218=E164)*(F8:F218=F164)*(G8:G218=G164)*(H8:H218=H164)*(I8:I218=I164)*(N8:N218=TRUE)*(O8:O218=TRUE),0))</f>
        <v>0</v>
      </c>
      <c r="AJ164" s="63"/>
      <c r="AK164" s="63"/>
      <c r="AL164" s="63">
        <f>SUM(_xlfn._xlws.FILTER(AL8:AL218,(E8:E218=E164)*(F8:F218=F164)*(G8:G218=G164)*(H8:H218=H164)*(I8:I218=I164)*(N8:N218=TRUE)*(O8:O218=TRUE),0))</f>
        <v>0</v>
      </c>
      <c r="AM164" s="63">
        <f>SUM(_xlfn._xlws.FILTER(AM8:AM218,(E8:E218=E164)*(F8:F218=F164)*(G8:G218=G164)*(H8:H218=H164)*(I8:I218=I164)*(N8:N218=TRUE)*(O8:O218=TRUE),0))</f>
        <v>0</v>
      </c>
      <c r="AN164" s="63"/>
      <c r="AO164" s="63"/>
      <c r="AP164" s="63" t="s">
        <v>234</v>
      </c>
      <c r="AQ164" s="63" t="s">
        <v>234</v>
      </c>
    </row>
    <row r="165" spans="2:43" ht="18" customHeight="1">
      <c r="B165" s="63"/>
      <c r="C165" s="63" t="s">
        <v>257</v>
      </c>
      <c r="D165" s="63" t="s">
        <v>257</v>
      </c>
      <c r="E165" s="63">
        <v>2</v>
      </c>
      <c r="F165" s="63">
        <v>1</v>
      </c>
      <c r="G165" s="63">
        <v>1</v>
      </c>
      <c r="H165" s="63">
        <v>2</v>
      </c>
      <c r="I165" s="63">
        <v>2</v>
      </c>
      <c r="J165" s="63">
        <v>1</v>
      </c>
      <c r="K165" s="72" t="str">
        <f t="shared" si="16"/>
        <v>002.001.001.002.002.001</v>
      </c>
      <c r="L165" s="72">
        <f t="shared" si="17"/>
        <v>1</v>
      </c>
      <c r="M165" s="72">
        <f t="shared" si="18"/>
        <v>5</v>
      </c>
      <c r="N165" s="72" t="b">
        <f t="shared" si="19"/>
        <v>1</v>
      </c>
      <c r="O165" s="72" t="b">
        <f t="shared" si="20"/>
        <v>1</v>
      </c>
      <c r="P165" s="72" t="b">
        <f t="shared" si="21"/>
        <v>1</v>
      </c>
      <c r="Q165" s="72" t="b">
        <f t="shared" si="22"/>
        <v>0</v>
      </c>
      <c r="R165" s="72" t="str">
        <f t="shared" si="23"/>
        <v>2.1.1.2.2.T1</v>
      </c>
      <c r="X165" s="60" t="s">
        <v>253</v>
      </c>
      <c r="Z165" s="63">
        <v>1</v>
      </c>
      <c r="AA165" s="63">
        <f>IF(AB165="完了",1,0)</f>
        <v>0</v>
      </c>
      <c r="AB165" s="63" t="s">
        <v>234</v>
      </c>
      <c r="AC165" s="63">
        <f>AM165/IF(AL165+AM165=0,1,AL165+AM165)</f>
        <v>0</v>
      </c>
      <c r="AD165" s="71"/>
      <c r="AE165" s="63">
        <v>1</v>
      </c>
      <c r="AF165" s="63" t="s">
        <v>234</v>
      </c>
      <c r="AG165" s="63" t="s">
        <v>234</v>
      </c>
      <c r="AH165" s="73"/>
      <c r="AI165" s="63"/>
      <c r="AJ165" s="63"/>
      <c r="AK165" s="63"/>
      <c r="AL165" s="63"/>
      <c r="AM165" s="63"/>
      <c r="AN165" s="63"/>
      <c r="AO165" s="63"/>
      <c r="AP165" s="63" t="s">
        <v>234</v>
      </c>
      <c r="AQ165" s="63" t="s">
        <v>234</v>
      </c>
    </row>
    <row r="166" spans="2:43" ht="18" customHeight="1">
      <c r="B166" s="63"/>
      <c r="C166" s="63" t="s">
        <v>257</v>
      </c>
      <c r="D166" s="63" t="s">
        <v>257</v>
      </c>
      <c r="E166" s="63">
        <v>2</v>
      </c>
      <c r="F166" s="63">
        <v>1</v>
      </c>
      <c r="G166" s="63">
        <v>1</v>
      </c>
      <c r="H166" s="63">
        <v>2</v>
      </c>
      <c r="I166" s="63">
        <v>2</v>
      </c>
      <c r="J166" s="63">
        <v>2</v>
      </c>
      <c r="K166" s="72" t="str">
        <f t="shared" si="16"/>
        <v>002.001.001.002.002.002</v>
      </c>
      <c r="L166" s="72">
        <f t="shared" si="17"/>
        <v>1</v>
      </c>
      <c r="M166" s="72">
        <f t="shared" si="18"/>
        <v>5</v>
      </c>
      <c r="N166" s="72" t="b">
        <f t="shared" si="19"/>
        <v>1</v>
      </c>
      <c r="O166" s="72" t="b">
        <f t="shared" si="20"/>
        <v>1</v>
      </c>
      <c r="P166" s="72" t="b">
        <f t="shared" si="21"/>
        <v>1</v>
      </c>
      <c r="Q166" s="72" t="b">
        <f t="shared" si="22"/>
        <v>0</v>
      </c>
      <c r="R166" s="72" t="str">
        <f t="shared" si="23"/>
        <v>2.1.1.2.2.T2</v>
      </c>
      <c r="X166" s="60" t="s">
        <v>254</v>
      </c>
      <c r="Z166" s="63">
        <v>1</v>
      </c>
      <c r="AA166" s="63">
        <f>IF(AB166="完了",1,0)</f>
        <v>0</v>
      </c>
      <c r="AB166" s="63" t="s">
        <v>234</v>
      </c>
      <c r="AC166" s="63">
        <f>AM166/IF(AL166+AM166=0,1,AL166+AM166)</f>
        <v>0</v>
      </c>
      <c r="AD166" s="71"/>
      <c r="AE166" s="63">
        <v>1</v>
      </c>
      <c r="AF166" s="63" t="s">
        <v>234</v>
      </c>
      <c r="AG166" s="63" t="s">
        <v>234</v>
      </c>
      <c r="AH166" s="73"/>
      <c r="AI166" s="63"/>
      <c r="AJ166" s="63"/>
      <c r="AK166" s="63"/>
      <c r="AL166" s="63"/>
      <c r="AM166" s="63"/>
      <c r="AN166" s="63"/>
      <c r="AO166" s="63"/>
      <c r="AP166" s="63" t="s">
        <v>234</v>
      </c>
      <c r="AQ166" s="63" t="s">
        <v>234</v>
      </c>
    </row>
    <row r="167" spans="2:43" ht="18" customHeight="1">
      <c r="B167" s="63"/>
      <c r="C167" s="63" t="s">
        <v>257</v>
      </c>
      <c r="D167" s="63" t="s">
        <v>257</v>
      </c>
      <c r="E167" s="63">
        <v>2</v>
      </c>
      <c r="F167" s="63">
        <v>1</v>
      </c>
      <c r="G167" s="63">
        <v>1</v>
      </c>
      <c r="H167" s="63">
        <v>2</v>
      </c>
      <c r="I167" s="63">
        <v>2</v>
      </c>
      <c r="J167" s="63">
        <v>3</v>
      </c>
      <c r="K167" s="72" t="str">
        <f t="shared" si="16"/>
        <v>002.001.001.002.002.003</v>
      </c>
      <c r="L167" s="72">
        <f t="shared" si="17"/>
        <v>1</v>
      </c>
      <c r="M167" s="72">
        <f t="shared" si="18"/>
        <v>5</v>
      </c>
      <c r="N167" s="72" t="b">
        <f t="shared" si="19"/>
        <v>1</v>
      </c>
      <c r="O167" s="72" t="b">
        <f t="shared" si="20"/>
        <v>1</v>
      </c>
      <c r="P167" s="72" t="b">
        <f t="shared" si="21"/>
        <v>1</v>
      </c>
      <c r="Q167" s="72" t="b">
        <f t="shared" si="22"/>
        <v>0</v>
      </c>
      <c r="R167" s="72" t="str">
        <f t="shared" si="23"/>
        <v>2.1.1.2.2.T3</v>
      </c>
      <c r="Z167" s="63">
        <v>1</v>
      </c>
      <c r="AA167" s="63">
        <f>IF(AB167="完了",1,0)</f>
        <v>0</v>
      </c>
      <c r="AB167" s="63" t="s">
        <v>234</v>
      </c>
      <c r="AC167" s="63">
        <f>AM167/IF(AL167+AM167=0,1,AL167+AM167)</f>
        <v>0</v>
      </c>
      <c r="AD167" s="71"/>
      <c r="AE167" s="63">
        <v>1</v>
      </c>
      <c r="AF167" s="63" t="s">
        <v>234</v>
      </c>
      <c r="AG167" s="63" t="s">
        <v>234</v>
      </c>
      <c r="AH167" s="73"/>
      <c r="AI167" s="63"/>
      <c r="AJ167" s="63"/>
      <c r="AK167" s="63"/>
      <c r="AL167" s="63"/>
      <c r="AM167" s="63"/>
      <c r="AN167" s="63"/>
      <c r="AO167" s="63"/>
      <c r="AP167" s="63" t="s">
        <v>234</v>
      </c>
      <c r="AQ167" s="63" t="s">
        <v>234</v>
      </c>
    </row>
    <row r="168" spans="2:43" ht="18" customHeight="1">
      <c r="B168" s="63"/>
      <c r="C168" s="63" t="s">
        <v>257</v>
      </c>
      <c r="D168" s="63" t="s">
        <v>257</v>
      </c>
      <c r="E168" s="63">
        <v>2</v>
      </c>
      <c r="F168" s="63">
        <v>1</v>
      </c>
      <c r="G168" s="63">
        <v>2</v>
      </c>
      <c r="H168" s="63"/>
      <c r="I168" s="63"/>
      <c r="J168" s="63"/>
      <c r="K168" s="72" t="str">
        <f t="shared" si="16"/>
        <v>002.001.002.---.---.---</v>
      </c>
      <c r="L168" s="72">
        <f t="shared" si="17"/>
        <v>1</v>
      </c>
      <c r="M168" s="72">
        <f t="shared" si="18"/>
        <v>3</v>
      </c>
      <c r="N168" s="72" t="b">
        <f t="shared" si="19"/>
        <v>0</v>
      </c>
      <c r="O168" s="72" t="b">
        <f t="shared" si="20"/>
        <v>1</v>
      </c>
      <c r="P168" s="72" t="b">
        <f t="shared" si="21"/>
        <v>1</v>
      </c>
      <c r="Q168" s="72" t="b">
        <f t="shared" si="22"/>
        <v>1</v>
      </c>
      <c r="R168" s="72" t="str">
        <f t="shared" si="23"/>
        <v>2.1.2</v>
      </c>
      <c r="Z168" s="63">
        <f>SUM(_xlfn._xlws.FILTER(Z8:Z218,(E8:E218=E168)*(F8:F218=F168)*(G8:G218=G168)*(ISNUMBER(H8:H218))*(I8:I218="")*(N8:N218=FALSE)*(O8:O218=TRUE),0))+SUM(_xlfn._xlws.FILTER(Z8:Z218,(E8:E218=E168)*(F8:F218=F168)*(G8:G218=G168)*(H8:H218="")*(I8:I218="")*(N8:N218=TRUE)*(O8:O218=TRUE),0))</f>
        <v>20</v>
      </c>
      <c r="AA168" s="63">
        <f>SUM(_xlfn._xlws.FILTER(AA8:AA218,(E8:E218=E168)*(F8:F218=F168)*(G8:G218=G168)*(ISNUMBER(H8:H218))*(I8:I218="")*(N8:N218=FALSE)*(O8:O218=TRUE),0))+SUM(_xlfn._xlws.FILTER(AA8:AA218,(E8:E218=E168)*(F8:F218=F168)*(G8:G218=G168)*(H8:H218="")*(I8:I218="")*(N8:N218=TRUE)*(O8:O218=TRUE),0))</f>
        <v>2</v>
      </c>
      <c r="AB168" s="63" t="s">
        <v>234</v>
      </c>
      <c r="AC168" s="63">
        <f>(SUM(_xlfn._xlws.FILTER(AC8:AC218,(E8:E218=E168)*(F8:F218=F168)*(G8:G218=G168)*(ISNUMBER(H8:H218))*(I8:I218="")*(N8:N218=FALSE)*(O8:O218=TRUE),0))+SUM(_xlfn._xlws.FILTER(AC8:AC218,(E8:E218=E168)*(F8:F218=F168)*(G8:G218=G168)*(H8:H218="")*(I8:I218="")*(N8:N218=TRUE)*(O8:O218=TRUE),0)))/IF(IFERROR(COUNT(_xlfn._xlws.FILTER(AC8:AC218,(E8:E218=E168)*(F8:F218=F168)*(G8:G218=G168)*(ISNUMBER(H8:H218))*(I8:I218="")*(N8:N218=FALSE)*(O8:O218=TRUE))),0)+IFERROR(COUNT(_xlfn._xlws.FILTER(AC8:AC218,(E8:E218=E168)*(F8:F218=F168)*(G8:G218=G168)*(H8:H218="")*(I8:I218="")*(N8:N218=TRUE)*(O8:O218=TRUE))),0)=0,1,IFERROR(COUNT(_xlfn._xlws.FILTER(AC8:AC218,(E8:E218=E168)*(F8:F218=F168)*(G8:G218=G168)*(ISNUMBER(H8:H218))*(I8:I218="")*(N8:N218=FALSE)*(O8:O218=TRUE))),0)+IFERROR(COUNT(_xlfn._xlws.FILTER(AC8:AC218,(E8:E218=E168)*(F8:F218=F168)*(G8:G218=G168)*(H8:H218="")*(I8:I218="")*(N8:N218=TRUE)*(O8:O218=TRUE))),0))</f>
        <v>0</v>
      </c>
      <c r="AD168" s="71">
        <f>(SUM(_xlfn._xlws.FILTER(AD8:AD218*(AE8:AE218),(E8:E218=E168)*(F8:F218=F168)*(G8:G218=G168)*(ISNUMBER(H8:H218))*(I8:I218="")*(N8:N218=FALSE)*(O8:O218=TRUE),0))+SUM(_xlfn._xlws.FILTER(AD8:AD218*(AE8:AE218),(E8:E218=E168)*(F8:F218=F168)*(G8:G218=G168)*(H8:H218="")*(I8:I218="")*(N8:N218=TRUE)*(O8:O218=TRUE),0)))/IF(SUM(_xlfn._xlws.FILTER(AE8:AE218,(E8:E218=E168)*(F8:F218=F168)*(G8:G218=G168)*(ISNUMBER(H8:H218))*(I8:I218="")*(N8:N218=FALSE)*(O8:O218=TRUE),0))+SUM(_xlfn._xlws.FILTER(AE8:AE218,(E8:E218=E168)*(F8:F218=F168)*(G8:G218=G168)*(H8:H218="")*(I8:I218="")*(N8:N218=TRUE)*(O8:O218=TRUE),0))=0,1,SUM(_xlfn._xlws.FILTER(AE8:AE218,(E8:E218=E168)*(F8:F218=F168)*(G8:G218=G168)*(ISNUMBER(H8:H218))*(I8:I218="")*(N8:N218=FALSE)*(O8:O218=TRUE),0))+SUM(_xlfn._xlws.FILTER(AE8:AE218,(E8:E218=E168)*(F8:F218=F168)*(G8:G218=G168)*(H8:H218="")*(I8:I218="")*(N8:N218=TRUE)*(O8:O218=TRUE),0)))</f>
        <v>0</v>
      </c>
      <c r="AE168" s="63">
        <v>1</v>
      </c>
      <c r="AF168" s="63" t="s">
        <v>234</v>
      </c>
      <c r="AG168" s="63" t="s">
        <v>234</v>
      </c>
      <c r="AH168" s="73"/>
      <c r="AI168" s="63">
        <f>SUM(_xlfn._xlws.FILTER(AI8:AI218,(E8:E218=E168)*(F8:F218=F168)*(G8:G218=G168)*(ISNUMBER(H8:H218))*(I8:I218="")*(N8:N218=FALSE)*(O8:O218=TRUE),0))+SUM(_xlfn._xlws.FILTER(AI8:AI218,(E8:E218=E168)*(F8:F218=F168)*(G8:G218=G168)*(H8:H218="")*(I8:I218="")*(N8:N218=TRUE)*(O8:O218=TRUE),0))</f>
        <v>0</v>
      </c>
      <c r="AJ168" s="63"/>
      <c r="AK168" s="63"/>
      <c r="AL168" s="63">
        <f>SUM(_xlfn._xlws.FILTER(AL8:AL218,(E8:E218=E168)*(F8:F218=F168)*(G8:G218=G168)*(ISNUMBER(H8:H218))*(I8:I218="")*(N8:N218=FALSE)*(O8:O218=TRUE),0))+SUM(_xlfn._xlws.FILTER(AL8:AL218,(E8:E218=E168)*(F8:F218=F168)*(G8:G218=G168)*(H8:H218="")*(I8:I218="")*(N8:N218=TRUE)*(O8:O218=TRUE),0))</f>
        <v>0</v>
      </c>
      <c r="AM168" s="63">
        <f>SUM(_xlfn._xlws.FILTER(AM8:AM218,(E8:E218=E168)*(F8:F218=F168)*(G8:G218=G168)*(ISNUMBER(H8:H218))*(I8:I218="")*(N8:N218=FALSE)*(O8:O218=TRUE),0))+SUM(_xlfn._xlws.FILTER(AM8:AM218,(E8:E218=E168)*(F8:F218=F168)*(G8:G218=G168)*(H8:H218="")*(I8:I218="")*(N8:N218=TRUE)*(O8:O218=TRUE),0))</f>
        <v>0</v>
      </c>
      <c r="AN168" s="63"/>
      <c r="AO168" s="63"/>
      <c r="AP168" s="63" t="s">
        <v>234</v>
      </c>
      <c r="AQ168" s="63" t="s">
        <v>234</v>
      </c>
    </row>
    <row r="169" spans="2:43" ht="18" customHeight="1">
      <c r="B169" s="63"/>
      <c r="C169" s="63" t="s">
        <v>257</v>
      </c>
      <c r="D169" s="63" t="s">
        <v>257</v>
      </c>
      <c r="E169" s="63">
        <v>2</v>
      </c>
      <c r="F169" s="63">
        <v>1</v>
      </c>
      <c r="G169" s="63">
        <v>2</v>
      </c>
      <c r="H169" s="63"/>
      <c r="I169" s="63"/>
      <c r="J169" s="63">
        <v>1</v>
      </c>
      <c r="K169" s="72" t="str">
        <f t="shared" si="16"/>
        <v>002.001.002.---.---.001</v>
      </c>
      <c r="L169" s="72">
        <f t="shared" si="17"/>
        <v>1</v>
      </c>
      <c r="M169" s="72">
        <f t="shared" si="18"/>
        <v>3</v>
      </c>
      <c r="N169" s="72" t="b">
        <f t="shared" si="19"/>
        <v>1</v>
      </c>
      <c r="O169" s="72" t="b">
        <f t="shared" si="20"/>
        <v>0</v>
      </c>
      <c r="P169" s="72" t="b">
        <f t="shared" si="21"/>
        <v>1</v>
      </c>
      <c r="Q169" s="72" t="b">
        <f t="shared" si="22"/>
        <v>0</v>
      </c>
      <c r="R169" s="72" t="str">
        <f t="shared" si="23"/>
        <v>2.1.2.T1</v>
      </c>
      <c r="X169" s="60" t="s">
        <v>242</v>
      </c>
      <c r="Z169" s="63">
        <v>1</v>
      </c>
      <c r="AA169" s="63">
        <f>IF(AB169="完了",1,0)</f>
        <v>0</v>
      </c>
      <c r="AB169" s="63" t="s">
        <v>243</v>
      </c>
      <c r="AC169" s="63">
        <f>AM169/IF(AL169+AM169=0,1,AL169+AM169)</f>
        <v>0</v>
      </c>
      <c r="AD169" s="71"/>
      <c r="AE169" s="63">
        <v>1</v>
      </c>
      <c r="AF169" s="63" t="s">
        <v>234</v>
      </c>
      <c r="AG169" s="63" t="s">
        <v>234</v>
      </c>
      <c r="AH169" s="73"/>
      <c r="AI169" s="63"/>
      <c r="AJ169" s="63"/>
      <c r="AK169" s="63"/>
      <c r="AL169" s="63"/>
      <c r="AM169" s="63"/>
      <c r="AN169" s="63"/>
      <c r="AO169" s="63"/>
      <c r="AP169" s="63" t="s">
        <v>234</v>
      </c>
      <c r="AQ169" s="63" t="s">
        <v>234</v>
      </c>
    </row>
    <row r="170" spans="2:43" ht="18" customHeight="1">
      <c r="B170" s="63"/>
      <c r="C170" s="63" t="s">
        <v>257</v>
      </c>
      <c r="D170" s="63" t="s">
        <v>257</v>
      </c>
      <c r="E170" s="63">
        <v>2</v>
      </c>
      <c r="F170" s="63">
        <v>1</v>
      </c>
      <c r="G170" s="63">
        <v>2</v>
      </c>
      <c r="H170" s="63"/>
      <c r="I170" s="63"/>
      <c r="J170" s="63">
        <v>2</v>
      </c>
      <c r="K170" s="72" t="str">
        <f t="shared" si="16"/>
        <v>002.001.002.---.---.002</v>
      </c>
      <c r="L170" s="72">
        <f t="shared" si="17"/>
        <v>1</v>
      </c>
      <c r="M170" s="72">
        <f t="shared" si="18"/>
        <v>3</v>
      </c>
      <c r="N170" s="72" t="b">
        <f t="shared" si="19"/>
        <v>1</v>
      </c>
      <c r="O170" s="72" t="b">
        <f t="shared" si="20"/>
        <v>1</v>
      </c>
      <c r="P170" s="72" t="b">
        <f t="shared" si="21"/>
        <v>1</v>
      </c>
      <c r="Q170" s="72" t="b">
        <f t="shared" si="22"/>
        <v>0</v>
      </c>
      <c r="R170" s="72" t="str">
        <f t="shared" si="23"/>
        <v>2.1.2.T2</v>
      </c>
      <c r="X170" s="60" t="s">
        <v>244</v>
      </c>
      <c r="Z170" s="63">
        <v>1</v>
      </c>
      <c r="AA170" s="63">
        <f>IF(AB170="完了",1,0)</f>
        <v>0</v>
      </c>
      <c r="AB170" s="63" t="s">
        <v>245</v>
      </c>
      <c r="AC170" s="63">
        <f>AM170/IF(AL170+AM170=0,1,AL170+AM170)</f>
        <v>0</v>
      </c>
      <c r="AD170" s="71"/>
      <c r="AE170" s="63">
        <v>1</v>
      </c>
      <c r="AF170" s="63" t="s">
        <v>234</v>
      </c>
      <c r="AG170" s="63" t="s">
        <v>234</v>
      </c>
      <c r="AH170" s="73"/>
      <c r="AI170" s="63"/>
      <c r="AJ170" s="63"/>
      <c r="AK170" s="63"/>
      <c r="AL170" s="63"/>
      <c r="AM170" s="63"/>
      <c r="AN170" s="63"/>
      <c r="AO170" s="63"/>
      <c r="AP170" s="63" t="s">
        <v>234</v>
      </c>
      <c r="AQ170" s="63" t="s">
        <v>234</v>
      </c>
    </row>
    <row r="171" spans="2:43" ht="18" customHeight="1">
      <c r="B171" s="63"/>
      <c r="C171" s="63" t="s">
        <v>257</v>
      </c>
      <c r="D171" s="63" t="s">
        <v>257</v>
      </c>
      <c r="E171" s="63">
        <v>2</v>
      </c>
      <c r="F171" s="63">
        <v>1</v>
      </c>
      <c r="G171" s="63">
        <v>2</v>
      </c>
      <c r="H171" s="63"/>
      <c r="I171" s="63"/>
      <c r="J171" s="63">
        <v>3</v>
      </c>
      <c r="K171" s="72" t="str">
        <f t="shared" si="16"/>
        <v>002.001.002.---.---.003</v>
      </c>
      <c r="L171" s="72">
        <f t="shared" si="17"/>
        <v>1</v>
      </c>
      <c r="M171" s="72">
        <f t="shared" si="18"/>
        <v>3</v>
      </c>
      <c r="N171" s="72" t="b">
        <f t="shared" si="19"/>
        <v>1</v>
      </c>
      <c r="O171" s="72" t="b">
        <f t="shared" si="20"/>
        <v>1</v>
      </c>
      <c r="P171" s="72" t="b">
        <f t="shared" si="21"/>
        <v>1</v>
      </c>
      <c r="Q171" s="72" t="b">
        <f t="shared" si="22"/>
        <v>0</v>
      </c>
      <c r="R171" s="72" t="str">
        <f t="shared" si="23"/>
        <v>2.1.2.T3</v>
      </c>
      <c r="X171" s="60" t="s">
        <v>246</v>
      </c>
      <c r="Z171" s="63">
        <v>1</v>
      </c>
      <c r="AA171" s="63">
        <f>IF(AB171="完了",1,0)</f>
        <v>0</v>
      </c>
      <c r="AB171" s="63" t="s">
        <v>234</v>
      </c>
      <c r="AC171" s="63">
        <f>AM171/IF(AL171+AM171=0,1,AL171+AM171)</f>
        <v>0</v>
      </c>
      <c r="AD171" s="71"/>
      <c r="AE171" s="63">
        <v>1</v>
      </c>
      <c r="AF171" s="63" t="s">
        <v>234</v>
      </c>
      <c r="AG171" s="63" t="s">
        <v>234</v>
      </c>
      <c r="AH171" s="73"/>
      <c r="AI171" s="63"/>
      <c r="AJ171" s="63"/>
      <c r="AK171" s="63"/>
      <c r="AL171" s="63"/>
      <c r="AM171" s="63"/>
      <c r="AN171" s="63"/>
      <c r="AO171" s="63"/>
      <c r="AP171" s="63" t="s">
        <v>234</v>
      </c>
      <c r="AQ171" s="63" t="s">
        <v>234</v>
      </c>
    </row>
    <row r="172" spans="2:43" ht="18" customHeight="1">
      <c r="B172" s="63"/>
      <c r="C172" s="63" t="s">
        <v>257</v>
      </c>
      <c r="D172" s="63" t="s">
        <v>257</v>
      </c>
      <c r="E172" s="63">
        <v>2</v>
      </c>
      <c r="F172" s="63">
        <v>1</v>
      </c>
      <c r="G172" s="63">
        <v>2</v>
      </c>
      <c r="H172" s="63">
        <v>1</v>
      </c>
      <c r="I172" s="63"/>
      <c r="J172" s="63"/>
      <c r="K172" s="72" t="str">
        <f t="shared" si="16"/>
        <v>002.001.002.001.---.---</v>
      </c>
      <c r="L172" s="72">
        <f t="shared" si="17"/>
        <v>1</v>
      </c>
      <c r="M172" s="72">
        <f t="shared" si="18"/>
        <v>4</v>
      </c>
      <c r="N172" s="72" t="b">
        <f t="shared" si="19"/>
        <v>0</v>
      </c>
      <c r="O172" s="72" t="b">
        <f t="shared" si="20"/>
        <v>1</v>
      </c>
      <c r="P172" s="72" t="b">
        <f t="shared" si="21"/>
        <v>1</v>
      </c>
      <c r="Q172" s="72" t="b">
        <f t="shared" si="22"/>
        <v>1</v>
      </c>
      <c r="R172" s="72" t="str">
        <f t="shared" si="23"/>
        <v>2.1.2.1</v>
      </c>
      <c r="V172" s="60" t="s">
        <v>247</v>
      </c>
      <c r="Z172" s="63">
        <f>SUM(_xlfn._xlws.FILTER(Z8:Z218,(E8:E218=E172)*(F8:F218=F172)*(G8:G218=G172)*(H8:H218=H172)*(ISNUMBER(I8:I218))*(N8:N218=FALSE)*(O8:O218=TRUE),0))+SUM(_xlfn._xlws.FILTER(Z8:Z218,(E8:E218=E172)*(F8:F218=F172)*(G8:G218=G172)*(H8:H218=H172)*(I8:I218="")*(N8:N218=TRUE)*(O8:O218=TRUE),0))</f>
        <v>9</v>
      </c>
      <c r="AA172" s="63">
        <f>SUM(_xlfn._xlws.FILTER(AA8:AA218,(E8:E218=E172)*(F8:F218=F172)*(G8:G218=G172)*(H8:H218=H172)*(ISNUMBER(I8:I218))*(N8:N218=FALSE)*(O8:O218=TRUE),0))+SUM(_xlfn._xlws.FILTER(AA8:AA218,(E8:E218=E172)*(F8:F218=F172)*(G8:G218=G172)*(H8:H218=H172)*(I8:I218="")*(N8:N218=TRUE)*(O8:O218=TRUE),0))</f>
        <v>1</v>
      </c>
      <c r="AB172" s="63" t="s">
        <v>234</v>
      </c>
      <c r="AC172" s="63">
        <f>(SUM(_xlfn._xlws.FILTER(AC8:AC218,(E8:E218=E172)*(F8:F218=F172)*(G8:G218=G172)*(H8:H218=H172)*(ISNUMBER(I8:I218))*(N8:N218=FALSE)*(O8:O218=TRUE),0))+SUM(_xlfn._xlws.FILTER(AC8:AC218,(E8:E218=E172)*(F8:F218=F172)*(G8:G218=G172)*(H8:H218=H172)*(I8:I218="")*(N8:N218=TRUE)*(O8:O218=TRUE),0)))/IF(IFERROR(COUNT(_xlfn._xlws.FILTER(AC8:AC218,(E8:E218=E172)*(F8:F218=F172)*(G8:G218=G172)*(H8:H218=H172)*(ISNUMBER(I8:I218))*(N8:N218=FALSE)*(O8:O218=TRUE))),0)+IFERROR(COUNT(_xlfn._xlws.FILTER(AC8:AC218,(E8:E218=E172)*(F8:F218=F172)*(G8:G218=G172)*(H8:H218=H172)*(I8:I218="")*(N8:N218=TRUE)*(O8:O218=TRUE))),0)=0,1,IFERROR(COUNT(_xlfn._xlws.FILTER(AC8:AC218,(E8:E218=E172)*(F8:F218=F172)*(G8:G218=G172)*(H8:H218=H172)*(ISNUMBER(I8:I218))*(N8:N218=FALSE)*(O8:O218=TRUE))),0)+IFERROR(COUNT(_xlfn._xlws.FILTER(AC8:AC218,(E8:E218=E172)*(F8:F218=F172)*(G8:G218=G172)*(H8:H218=H172)*(I8:I218="")*(N8:N218=TRUE)*(O8:O218=TRUE))),0))</f>
        <v>0</v>
      </c>
      <c r="AD172" s="71">
        <f>(SUM(_xlfn._xlws.FILTER(AD8:AD218*(AE8:AE218),(E8:E218=E172)*(F8:F218=F172)*(G8:G218=G172)*(H8:H218=H172)*(ISNUMBER(I8:I218))*(N8:N218=FALSE)*(O8:O218=TRUE),0))+SUM(_xlfn._xlws.FILTER(AD8:AD218*(AE8:AE218),(E8:E218=E172)*(F8:F218=F172)*(G8:G218=G172)*(H8:H218=H172)*(I8:I218="")*(N8:N218=TRUE)*(O8:O218=TRUE),0)))/IF(SUM(_xlfn._xlws.FILTER(AE8:AE218,(E8:E218=E172)*(F8:F218=F172)*(G8:G218=G172)*(H8:H218=H172)*(ISNUMBER(I8:I218))*(N8:N218=FALSE)*(O8:O218=TRUE),0))+SUM(_xlfn._xlws.FILTER(AE8:AE218,(E8:E218=E172)*(F8:F218=F172)*(G8:G218=G172)*(H8:H218=H172)*(I8:I218="")*(N8:N218=TRUE)*(O8:O218=TRUE),0))=0,1,SUM(_xlfn._xlws.FILTER(AE8:AE218,(E8:E218=E172)*(F8:F218=F172)*(G8:G218=G172)*(H8:H218=H172)*(ISNUMBER(I8:I218))*(N8:N218=FALSE)*(O8:O218=TRUE),0))+SUM(_xlfn._xlws.FILTER(AE8:AE218,(E8:E218=E172)*(F8:F218=F172)*(G8:G218=G172)*(H8:H218=H172)*(I8:I218="")*(N8:N218=TRUE)*(O8:O218=TRUE),0)))</f>
        <v>0</v>
      </c>
      <c r="AE172" s="63">
        <v>1</v>
      </c>
      <c r="AF172" s="63" t="s">
        <v>234</v>
      </c>
      <c r="AG172" s="63" t="s">
        <v>234</v>
      </c>
      <c r="AH172" s="73"/>
      <c r="AI172" s="63">
        <f>SUM(_xlfn._xlws.FILTER(AI8:AI218,(E8:E218=E172)*(F8:F218=F172)*(G8:G218=G172)*(H8:H218=H172)*(ISNUMBER(I8:I218))*(N8:N218=FALSE)*(O8:O218=TRUE),0))+SUM(_xlfn._xlws.FILTER(AI8:AI218,(E8:E218=E172)*(F8:F218=F172)*(G8:G218=G172)*(H8:H218=H172)*(I8:I218="")*(N8:N218=TRUE)*(O8:O218=TRUE),0))</f>
        <v>0</v>
      </c>
      <c r="AJ172" s="63"/>
      <c r="AK172" s="63"/>
      <c r="AL172" s="63">
        <f>SUM(_xlfn._xlws.FILTER(AL8:AL218,(E8:E218=E172)*(F8:F218=F172)*(G8:G218=G172)*(H8:H218=H172)*(ISNUMBER(I8:I218))*(N8:N218=FALSE)*(O8:O218=TRUE),0))+SUM(_xlfn._xlws.FILTER(AL8:AL218,(E8:E218=E172)*(F8:F218=F172)*(G8:G218=G172)*(H8:H218=H172)*(I8:I218="")*(N8:N218=TRUE)*(O8:O218=TRUE),0))</f>
        <v>0</v>
      </c>
      <c r="AM172" s="63">
        <f>SUM(_xlfn._xlws.FILTER(AM8:AM218,(E8:E218=E172)*(F8:F218=F172)*(G8:G218=G172)*(H8:H218=H172)*(ISNUMBER(I8:I218))*(N8:N218=FALSE)*(O8:O218=TRUE),0))+SUM(_xlfn._xlws.FILTER(AM8:AM218,(E8:E218=E172)*(F8:F218=F172)*(G8:G218=G172)*(H8:H218=H172)*(I8:I218="")*(N8:N218=TRUE)*(O8:O218=TRUE),0))</f>
        <v>0</v>
      </c>
      <c r="AN172" s="63"/>
      <c r="AO172" s="63"/>
      <c r="AP172" s="63" t="s">
        <v>234</v>
      </c>
      <c r="AQ172" s="63" t="s">
        <v>234</v>
      </c>
    </row>
    <row r="173" spans="2:43" ht="18" customHeight="1">
      <c r="B173" s="63"/>
      <c r="C173" s="63" t="s">
        <v>257</v>
      </c>
      <c r="D173" s="63" t="s">
        <v>257</v>
      </c>
      <c r="E173" s="63">
        <v>2</v>
      </c>
      <c r="F173" s="63">
        <v>1</v>
      </c>
      <c r="G173" s="63">
        <v>2</v>
      </c>
      <c r="H173" s="63">
        <v>1</v>
      </c>
      <c r="I173" s="63"/>
      <c r="J173" s="63">
        <v>1</v>
      </c>
      <c r="K173" s="72" t="str">
        <f t="shared" si="16"/>
        <v>002.001.002.001.---.001</v>
      </c>
      <c r="L173" s="72">
        <f t="shared" si="17"/>
        <v>1</v>
      </c>
      <c r="M173" s="72">
        <f t="shared" si="18"/>
        <v>4</v>
      </c>
      <c r="N173" s="72" t="b">
        <f t="shared" si="19"/>
        <v>1</v>
      </c>
      <c r="O173" s="72" t="b">
        <f t="shared" si="20"/>
        <v>1</v>
      </c>
      <c r="P173" s="72" t="b">
        <f t="shared" si="21"/>
        <v>1</v>
      </c>
      <c r="Q173" s="72" t="b">
        <f t="shared" si="22"/>
        <v>0</v>
      </c>
      <c r="R173" s="72" t="str">
        <f t="shared" si="23"/>
        <v>2.1.2.1.T1</v>
      </c>
      <c r="X173" s="60" t="s">
        <v>248</v>
      </c>
      <c r="Z173" s="63">
        <v>1</v>
      </c>
      <c r="AA173" s="63">
        <f>IF(AB173="完了",1,0)</f>
        <v>1</v>
      </c>
      <c r="AB173" s="63" t="s">
        <v>204</v>
      </c>
      <c r="AC173" s="63">
        <f>AM173/IF(AL173+AM173=0,1,AL173+AM173)</f>
        <v>0</v>
      </c>
      <c r="AD173" s="71"/>
      <c r="AE173" s="63">
        <v>1</v>
      </c>
      <c r="AF173" s="63" t="s">
        <v>234</v>
      </c>
      <c r="AG173" s="63" t="s">
        <v>234</v>
      </c>
      <c r="AH173" s="73"/>
      <c r="AI173" s="63"/>
      <c r="AJ173" s="63"/>
      <c r="AK173" s="63"/>
      <c r="AL173" s="63"/>
      <c r="AM173" s="63"/>
      <c r="AN173" s="63"/>
      <c r="AO173" s="63"/>
      <c r="AP173" s="63" t="s">
        <v>234</v>
      </c>
      <c r="AQ173" s="63" t="s">
        <v>234</v>
      </c>
    </row>
    <row r="174" spans="2:43" ht="18" customHeight="1">
      <c r="B174" s="63"/>
      <c r="C174" s="63" t="s">
        <v>257</v>
      </c>
      <c r="D174" s="63" t="s">
        <v>257</v>
      </c>
      <c r="E174" s="63">
        <v>2</v>
      </c>
      <c r="F174" s="63">
        <v>1</v>
      </c>
      <c r="G174" s="63">
        <v>2</v>
      </c>
      <c r="H174" s="63">
        <v>1</v>
      </c>
      <c r="I174" s="63"/>
      <c r="J174" s="63">
        <v>2</v>
      </c>
      <c r="K174" s="72" t="str">
        <f t="shared" si="16"/>
        <v>002.001.002.001.---.002</v>
      </c>
      <c r="L174" s="72">
        <f t="shared" si="17"/>
        <v>1</v>
      </c>
      <c r="M174" s="72">
        <f t="shared" si="18"/>
        <v>4</v>
      </c>
      <c r="N174" s="72" t="b">
        <f t="shared" si="19"/>
        <v>1</v>
      </c>
      <c r="O174" s="72" t="b">
        <f t="shared" si="20"/>
        <v>1</v>
      </c>
      <c r="P174" s="72" t="b">
        <f t="shared" si="21"/>
        <v>1</v>
      </c>
      <c r="Q174" s="72" t="b">
        <f t="shared" si="22"/>
        <v>0</v>
      </c>
      <c r="R174" s="72" t="str">
        <f t="shared" si="23"/>
        <v>2.1.2.1.T2</v>
      </c>
      <c r="X174" s="60" t="s">
        <v>249</v>
      </c>
      <c r="Z174" s="63">
        <v>1</v>
      </c>
      <c r="AA174" s="63">
        <f>IF(AB174="完了",1,0)</f>
        <v>0</v>
      </c>
      <c r="AB174" s="63" t="s">
        <v>250</v>
      </c>
      <c r="AC174" s="63">
        <f>AM174/IF(AL174+AM174=0,1,AL174+AM174)</f>
        <v>0</v>
      </c>
      <c r="AD174" s="71"/>
      <c r="AE174" s="63">
        <v>1</v>
      </c>
      <c r="AF174" s="63" t="s">
        <v>234</v>
      </c>
      <c r="AG174" s="63" t="s">
        <v>234</v>
      </c>
      <c r="AH174" s="73"/>
      <c r="AI174" s="63"/>
      <c r="AJ174" s="63"/>
      <c r="AK174" s="63"/>
      <c r="AL174" s="63"/>
      <c r="AM174" s="63"/>
      <c r="AN174" s="63"/>
      <c r="AO174" s="63"/>
      <c r="AP174" s="63" t="s">
        <v>234</v>
      </c>
      <c r="AQ174" s="63" t="s">
        <v>234</v>
      </c>
    </row>
    <row r="175" spans="2:43" ht="18" customHeight="1">
      <c r="B175" s="63"/>
      <c r="C175" s="63" t="s">
        <v>257</v>
      </c>
      <c r="D175" s="63" t="s">
        <v>257</v>
      </c>
      <c r="E175" s="63">
        <v>2</v>
      </c>
      <c r="F175" s="63">
        <v>1</v>
      </c>
      <c r="G175" s="63">
        <v>2</v>
      </c>
      <c r="H175" s="63">
        <v>1</v>
      </c>
      <c r="I175" s="63"/>
      <c r="J175" s="63">
        <v>3</v>
      </c>
      <c r="K175" s="72" t="str">
        <f t="shared" si="16"/>
        <v>002.001.002.001.---.003</v>
      </c>
      <c r="L175" s="72">
        <f t="shared" si="17"/>
        <v>1</v>
      </c>
      <c r="M175" s="72">
        <f t="shared" si="18"/>
        <v>4</v>
      </c>
      <c r="N175" s="72" t="b">
        <f t="shared" si="19"/>
        <v>1</v>
      </c>
      <c r="O175" s="72" t="b">
        <f t="shared" si="20"/>
        <v>1</v>
      </c>
      <c r="P175" s="72" t="b">
        <f t="shared" si="21"/>
        <v>1</v>
      </c>
      <c r="Q175" s="72" t="b">
        <f t="shared" si="22"/>
        <v>0</v>
      </c>
      <c r="R175" s="72" t="str">
        <f t="shared" si="23"/>
        <v>2.1.2.1.T3</v>
      </c>
      <c r="X175" s="60" t="s">
        <v>251</v>
      </c>
      <c r="Z175" s="63">
        <v>1</v>
      </c>
      <c r="AA175" s="63">
        <f>IF(AB175="完了",1,0)</f>
        <v>0</v>
      </c>
      <c r="AB175" s="63" t="s">
        <v>234</v>
      </c>
      <c r="AC175" s="63">
        <f>AM175/IF(AL175+AM175=0,1,AL175+AM175)</f>
        <v>0</v>
      </c>
      <c r="AD175" s="71"/>
      <c r="AE175" s="63">
        <v>1</v>
      </c>
      <c r="AF175" s="63" t="s">
        <v>234</v>
      </c>
      <c r="AG175" s="63" t="s">
        <v>234</v>
      </c>
      <c r="AH175" s="73"/>
      <c r="AI175" s="63"/>
      <c r="AJ175" s="63"/>
      <c r="AK175" s="63"/>
      <c r="AL175" s="63"/>
      <c r="AM175" s="63"/>
      <c r="AN175" s="63"/>
      <c r="AO175" s="63"/>
      <c r="AP175" s="63" t="s">
        <v>234</v>
      </c>
      <c r="AQ175" s="63" t="s">
        <v>234</v>
      </c>
    </row>
    <row r="176" spans="2:43" ht="18" customHeight="1">
      <c r="B176" s="63"/>
      <c r="C176" s="63" t="s">
        <v>257</v>
      </c>
      <c r="D176" s="63" t="s">
        <v>257</v>
      </c>
      <c r="E176" s="63">
        <v>2</v>
      </c>
      <c r="F176" s="63">
        <v>1</v>
      </c>
      <c r="G176" s="63">
        <v>2</v>
      </c>
      <c r="H176" s="63">
        <v>1</v>
      </c>
      <c r="I176" s="63">
        <v>1</v>
      </c>
      <c r="J176" s="63"/>
      <c r="K176" s="72" t="str">
        <f t="shared" si="16"/>
        <v>002.001.002.001.001.---</v>
      </c>
      <c r="L176" s="72">
        <f t="shared" si="17"/>
        <v>1</v>
      </c>
      <c r="M176" s="72">
        <f t="shared" si="18"/>
        <v>5</v>
      </c>
      <c r="N176" s="72" t="b">
        <f t="shared" si="19"/>
        <v>0</v>
      </c>
      <c r="O176" s="72" t="b">
        <f t="shared" si="20"/>
        <v>1</v>
      </c>
      <c r="P176" s="72" t="b">
        <f t="shared" si="21"/>
        <v>1</v>
      </c>
      <c r="Q176" s="72" t="b">
        <f t="shared" si="22"/>
        <v>1</v>
      </c>
      <c r="R176" s="72" t="str">
        <f t="shared" si="23"/>
        <v>2.1.2.1.1</v>
      </c>
      <c r="W176" s="60" t="s">
        <v>252</v>
      </c>
      <c r="Z176" s="63">
        <f>SUM(_xlfn._xlws.FILTER(Z8:Z218,(E8:E218=E176)*(F8:F218=F176)*(G8:G218=G176)*(H8:H218=H176)*(I8:I218=I176)*(N8:N218=TRUE)*(O8:O218=TRUE),0))</f>
        <v>3</v>
      </c>
      <c r="AA176" s="63">
        <f>SUM(_xlfn._xlws.FILTER(AA8:AA218,(E8:E218=E176)*(F8:F218=F176)*(G8:G218=G176)*(H8:H218=H176)*(I8:I218=I176)*(N8:N218=TRUE)*(O8:O218=TRUE),0))</f>
        <v>0</v>
      </c>
      <c r="AB176" s="63" t="s">
        <v>234</v>
      </c>
      <c r="AC176" s="63">
        <f>SUM(_xlfn._xlws.FILTER(AC8:AC218,(E8:E218=E176)*(F8:F218=F176)*(G8:G218=G176)*(H8:H218=H176)*(I8:I218=I176)*(N8:N218=TRUE)*(O8:O218=TRUE),0))/IF(IFERROR(COUNT(_xlfn._xlws.FILTER(AC8:AC218,(E8:E218=E176)*(F8:F218=F176)*(G8:G218=G176)*(H8:H218=H176)*(I8:I218=I176)*(N8:N218=TRUE)*(O8:O218=TRUE))),0)=0,1,IFERROR(COUNT(_xlfn._xlws.FILTER(AC8:AC218,(E8:E218=E176)*(F8:F218=F176)*(G8:G218=G176)*(H8:H218=H176)*(I8:I218=I176)*(N8:N218=TRUE)*(O8:O218=TRUE))),0))</f>
        <v>0</v>
      </c>
      <c r="AD176" s="71">
        <f>SUM(_xlfn._xlws.FILTER(AD8:AD218*(AE8:AE218),(E8:E218=E176)*(F8:F218=F176)*(G8:G218=G176)*(H8:H218=H176)*(I8:I218=I176)*(N8:N218=TRUE)*(O8:O218=TRUE),0))/IF(SUM(_xlfn._xlws.FILTER(AE8:AE218,(E8:E218=E176)*(F8:F218=F176)*(G8:G218=G176)*(H8:H218=H176)*(I8:I218=I176)*(N8:N218=TRUE)*(O8:O218=TRUE),0))=0,1,SUM(_xlfn._xlws.FILTER(AE8:AE218,(E8:E218=E176)*(F8:F218=F176)*(G8:G218=G176)*(H8:H218=H176)*(I8:I218=I176)*(N8:N218=TRUE)*(O8:O218=TRUE),0)))</f>
        <v>0</v>
      </c>
      <c r="AE176" s="63">
        <v>1</v>
      </c>
      <c r="AF176" s="63" t="s">
        <v>234</v>
      </c>
      <c r="AG176" s="63" t="s">
        <v>234</v>
      </c>
      <c r="AH176" s="73"/>
      <c r="AI176" s="63">
        <f>SUM(_xlfn._xlws.FILTER(AI8:AI218,(E8:E218=E176)*(F8:F218=F176)*(G8:G218=G176)*(H8:H218=H176)*(I8:I218=I176)*(N8:N218=TRUE)*(O8:O218=TRUE),0))</f>
        <v>0</v>
      </c>
      <c r="AJ176" s="63"/>
      <c r="AK176" s="63"/>
      <c r="AL176" s="63">
        <f>SUM(_xlfn._xlws.FILTER(AL8:AL218,(E8:E218=E176)*(F8:F218=F176)*(G8:G218=G176)*(H8:H218=H176)*(I8:I218=I176)*(N8:N218=TRUE)*(O8:O218=TRUE),0))</f>
        <v>0</v>
      </c>
      <c r="AM176" s="63">
        <f>SUM(_xlfn._xlws.FILTER(AM8:AM218,(E8:E218=E176)*(F8:F218=F176)*(G8:G218=G176)*(H8:H218=H176)*(I8:I218=I176)*(N8:N218=TRUE)*(O8:O218=TRUE),0))</f>
        <v>0</v>
      </c>
      <c r="AN176" s="63"/>
      <c r="AO176" s="63"/>
      <c r="AP176" s="63" t="s">
        <v>234</v>
      </c>
      <c r="AQ176" s="63" t="s">
        <v>234</v>
      </c>
    </row>
    <row r="177" spans="2:43" ht="18" customHeight="1">
      <c r="B177" s="63"/>
      <c r="C177" s="63" t="s">
        <v>257</v>
      </c>
      <c r="D177" s="63" t="s">
        <v>257</v>
      </c>
      <c r="E177" s="63">
        <v>2</v>
      </c>
      <c r="F177" s="63">
        <v>1</v>
      </c>
      <c r="G177" s="63">
        <v>2</v>
      </c>
      <c r="H177" s="63">
        <v>1</v>
      </c>
      <c r="I177" s="63">
        <v>1</v>
      </c>
      <c r="J177" s="63">
        <v>1</v>
      </c>
      <c r="K177" s="72" t="str">
        <f t="shared" si="16"/>
        <v>002.001.002.001.001.001</v>
      </c>
      <c r="L177" s="72">
        <f t="shared" si="17"/>
        <v>1</v>
      </c>
      <c r="M177" s="72">
        <f t="shared" si="18"/>
        <v>5</v>
      </c>
      <c r="N177" s="72" t="b">
        <f t="shared" si="19"/>
        <v>1</v>
      </c>
      <c r="O177" s="72" t="b">
        <f t="shared" si="20"/>
        <v>1</v>
      </c>
      <c r="P177" s="72" t="b">
        <f t="shared" si="21"/>
        <v>1</v>
      </c>
      <c r="Q177" s="72" t="b">
        <f t="shared" si="22"/>
        <v>0</v>
      </c>
      <c r="R177" s="72" t="str">
        <f t="shared" si="23"/>
        <v>2.1.2.1.1.T1</v>
      </c>
      <c r="X177" s="60" t="s">
        <v>253</v>
      </c>
      <c r="Z177" s="63">
        <v>1</v>
      </c>
      <c r="AA177" s="63">
        <f>IF(AB177="完了",1,0)</f>
        <v>0</v>
      </c>
      <c r="AB177" s="63" t="s">
        <v>234</v>
      </c>
      <c r="AC177" s="63">
        <f>AM177/IF(AL177+AM177=0,1,AL177+AM177)</f>
        <v>0</v>
      </c>
      <c r="AD177" s="71"/>
      <c r="AE177" s="63">
        <v>1</v>
      </c>
      <c r="AF177" s="63" t="s">
        <v>234</v>
      </c>
      <c r="AG177" s="63" t="s">
        <v>234</v>
      </c>
      <c r="AH177" s="73"/>
      <c r="AI177" s="63"/>
      <c r="AJ177" s="63"/>
      <c r="AK177" s="63"/>
      <c r="AL177" s="63"/>
      <c r="AM177" s="63"/>
      <c r="AN177" s="63"/>
      <c r="AO177" s="63"/>
      <c r="AP177" s="63" t="s">
        <v>234</v>
      </c>
      <c r="AQ177" s="63" t="s">
        <v>234</v>
      </c>
    </row>
    <row r="178" spans="2:43" ht="18" customHeight="1">
      <c r="B178" s="63"/>
      <c r="C178" s="63" t="s">
        <v>257</v>
      </c>
      <c r="D178" s="63" t="s">
        <v>257</v>
      </c>
      <c r="E178" s="63">
        <v>2</v>
      </c>
      <c r="F178" s="63">
        <v>1</v>
      </c>
      <c r="G178" s="63">
        <v>2</v>
      </c>
      <c r="H178" s="63">
        <v>1</v>
      </c>
      <c r="I178" s="63">
        <v>1</v>
      </c>
      <c r="J178" s="63">
        <v>2</v>
      </c>
      <c r="K178" s="72" t="str">
        <f t="shared" si="16"/>
        <v>002.001.002.001.001.002</v>
      </c>
      <c r="L178" s="72">
        <f t="shared" si="17"/>
        <v>1</v>
      </c>
      <c r="M178" s="72">
        <f t="shared" si="18"/>
        <v>5</v>
      </c>
      <c r="N178" s="72" t="b">
        <f t="shared" si="19"/>
        <v>1</v>
      </c>
      <c r="O178" s="72" t="b">
        <f t="shared" si="20"/>
        <v>1</v>
      </c>
      <c r="P178" s="72" t="b">
        <f t="shared" si="21"/>
        <v>1</v>
      </c>
      <c r="Q178" s="72" t="b">
        <f t="shared" si="22"/>
        <v>0</v>
      </c>
      <c r="R178" s="72" t="str">
        <f t="shared" si="23"/>
        <v>2.1.2.1.1.T2</v>
      </c>
      <c r="X178" s="60" t="s">
        <v>254</v>
      </c>
      <c r="Z178" s="63">
        <v>1</v>
      </c>
      <c r="AA178" s="63">
        <f>IF(AB178="完了",1,0)</f>
        <v>0</v>
      </c>
      <c r="AB178" s="63" t="s">
        <v>234</v>
      </c>
      <c r="AC178" s="63">
        <f>AM178/IF(AL178+AM178=0,1,AL178+AM178)</f>
        <v>0</v>
      </c>
      <c r="AD178" s="71"/>
      <c r="AE178" s="63">
        <v>1</v>
      </c>
      <c r="AF178" s="63" t="s">
        <v>234</v>
      </c>
      <c r="AG178" s="63" t="s">
        <v>234</v>
      </c>
      <c r="AH178" s="73"/>
      <c r="AI178" s="63"/>
      <c r="AJ178" s="63"/>
      <c r="AK178" s="63"/>
      <c r="AL178" s="63"/>
      <c r="AM178" s="63"/>
      <c r="AN178" s="63"/>
      <c r="AO178" s="63"/>
      <c r="AP178" s="63" t="s">
        <v>234</v>
      </c>
      <c r="AQ178" s="63" t="s">
        <v>234</v>
      </c>
    </row>
    <row r="179" spans="2:43" ht="18" customHeight="1">
      <c r="B179" s="63"/>
      <c r="C179" s="63" t="s">
        <v>257</v>
      </c>
      <c r="D179" s="63" t="s">
        <v>257</v>
      </c>
      <c r="E179" s="63">
        <v>2</v>
      </c>
      <c r="F179" s="63">
        <v>1</v>
      </c>
      <c r="G179" s="63">
        <v>2</v>
      </c>
      <c r="H179" s="63">
        <v>1</v>
      </c>
      <c r="I179" s="63">
        <v>1</v>
      </c>
      <c r="J179" s="63">
        <v>3</v>
      </c>
      <c r="K179" s="72" t="str">
        <f t="shared" si="16"/>
        <v>002.001.002.001.001.003</v>
      </c>
      <c r="L179" s="72">
        <f t="shared" si="17"/>
        <v>1</v>
      </c>
      <c r="M179" s="72">
        <f t="shared" si="18"/>
        <v>5</v>
      </c>
      <c r="N179" s="72" t="b">
        <f t="shared" si="19"/>
        <v>1</v>
      </c>
      <c r="O179" s="72" t="b">
        <f t="shared" si="20"/>
        <v>1</v>
      </c>
      <c r="P179" s="72" t="b">
        <f t="shared" si="21"/>
        <v>1</v>
      </c>
      <c r="Q179" s="72" t="b">
        <f t="shared" si="22"/>
        <v>0</v>
      </c>
      <c r="R179" s="72" t="str">
        <f t="shared" si="23"/>
        <v>2.1.2.1.1.T3</v>
      </c>
      <c r="Z179" s="63">
        <v>1</v>
      </c>
      <c r="AA179" s="63">
        <f>IF(AB179="完了",1,0)</f>
        <v>0</v>
      </c>
      <c r="AB179" s="63" t="s">
        <v>234</v>
      </c>
      <c r="AC179" s="63">
        <f>AM179/IF(AL179+AM179=0,1,AL179+AM179)</f>
        <v>0</v>
      </c>
      <c r="AD179" s="71"/>
      <c r="AE179" s="63">
        <v>1</v>
      </c>
      <c r="AF179" s="63" t="s">
        <v>234</v>
      </c>
      <c r="AG179" s="63" t="s">
        <v>234</v>
      </c>
      <c r="AH179" s="73"/>
      <c r="AI179" s="63"/>
      <c r="AJ179" s="63"/>
      <c r="AK179" s="63"/>
      <c r="AL179" s="63"/>
      <c r="AM179" s="63"/>
      <c r="AN179" s="63"/>
      <c r="AO179" s="63"/>
      <c r="AP179" s="63" t="s">
        <v>234</v>
      </c>
      <c r="AQ179" s="63" t="s">
        <v>234</v>
      </c>
    </row>
    <row r="180" spans="2:43" ht="18" customHeight="1">
      <c r="B180" s="63"/>
      <c r="C180" s="63" t="s">
        <v>257</v>
      </c>
      <c r="D180" s="63" t="s">
        <v>257</v>
      </c>
      <c r="E180" s="63">
        <v>2</v>
      </c>
      <c r="F180" s="63">
        <v>1</v>
      </c>
      <c r="G180" s="63">
        <v>2</v>
      </c>
      <c r="H180" s="63">
        <v>1</v>
      </c>
      <c r="I180" s="63">
        <v>2</v>
      </c>
      <c r="J180" s="63"/>
      <c r="K180" s="72" t="str">
        <f t="shared" si="16"/>
        <v>002.001.002.001.002.---</v>
      </c>
      <c r="L180" s="72">
        <f t="shared" si="17"/>
        <v>1</v>
      </c>
      <c r="M180" s="72">
        <f t="shared" si="18"/>
        <v>5</v>
      </c>
      <c r="N180" s="72" t="b">
        <f t="shared" si="19"/>
        <v>0</v>
      </c>
      <c r="O180" s="72" t="b">
        <f t="shared" si="20"/>
        <v>1</v>
      </c>
      <c r="P180" s="72" t="b">
        <f t="shared" si="21"/>
        <v>1</v>
      </c>
      <c r="Q180" s="72" t="b">
        <f t="shared" si="22"/>
        <v>1</v>
      </c>
      <c r="R180" s="72" t="str">
        <f t="shared" si="23"/>
        <v>2.1.2.1.2</v>
      </c>
      <c r="Z180" s="63">
        <f>SUM(_xlfn._xlws.FILTER(Z8:Z218,(E8:E218=E180)*(F8:F218=F180)*(G8:G218=G180)*(H8:H218=H180)*(I8:I218=I180)*(N8:N218=TRUE)*(O8:O218=TRUE),0))</f>
        <v>3</v>
      </c>
      <c r="AA180" s="63">
        <f>SUM(_xlfn._xlws.FILTER(AA8:AA218,(E8:E218=E180)*(F8:F218=F180)*(G8:G218=G180)*(H8:H218=H180)*(I8:I218=I180)*(N8:N218=TRUE)*(O8:O218=TRUE),0))</f>
        <v>0</v>
      </c>
      <c r="AB180" s="63" t="s">
        <v>234</v>
      </c>
      <c r="AC180" s="63">
        <f>SUM(_xlfn._xlws.FILTER(AC8:AC218,(E8:E218=E180)*(F8:F218=F180)*(G8:G218=G180)*(H8:H218=H180)*(I8:I218=I180)*(N8:N218=TRUE)*(O8:O218=TRUE),0))/IF(IFERROR(COUNT(_xlfn._xlws.FILTER(AC8:AC218,(E8:E218=E180)*(F8:F218=F180)*(G8:G218=G180)*(H8:H218=H180)*(I8:I218=I180)*(N8:N218=TRUE)*(O8:O218=TRUE))),0)=0,1,IFERROR(COUNT(_xlfn._xlws.FILTER(AC8:AC218,(E8:E218=E180)*(F8:F218=F180)*(G8:G218=G180)*(H8:H218=H180)*(I8:I218=I180)*(N8:N218=TRUE)*(O8:O218=TRUE))),0))</f>
        <v>0</v>
      </c>
      <c r="AD180" s="71">
        <f>SUM(_xlfn._xlws.FILTER(AD8:AD218*(AE8:AE218),(E8:E218=E180)*(F8:F218=F180)*(G8:G218=G180)*(H8:H218=H180)*(I8:I218=I180)*(N8:N218=TRUE)*(O8:O218=TRUE),0))/IF(SUM(_xlfn._xlws.FILTER(AE8:AE218,(E8:E218=E180)*(F8:F218=F180)*(G8:G218=G180)*(H8:H218=H180)*(I8:I218=I180)*(N8:N218=TRUE)*(O8:O218=TRUE),0))=0,1,SUM(_xlfn._xlws.FILTER(AE8:AE218,(E8:E218=E180)*(F8:F218=F180)*(G8:G218=G180)*(H8:H218=H180)*(I8:I218=I180)*(N8:N218=TRUE)*(O8:O218=TRUE),0)))</f>
        <v>0</v>
      </c>
      <c r="AE180" s="63">
        <v>1</v>
      </c>
      <c r="AF180" s="63" t="s">
        <v>234</v>
      </c>
      <c r="AG180" s="63" t="s">
        <v>234</v>
      </c>
      <c r="AH180" s="73"/>
      <c r="AI180" s="63">
        <f>SUM(_xlfn._xlws.FILTER(AI8:AI218,(E8:E218=E180)*(F8:F218=F180)*(G8:G218=G180)*(H8:H218=H180)*(I8:I218=I180)*(N8:N218=TRUE)*(O8:O218=TRUE),0))</f>
        <v>0</v>
      </c>
      <c r="AJ180" s="63"/>
      <c r="AK180" s="63"/>
      <c r="AL180" s="63">
        <f>SUM(_xlfn._xlws.FILTER(AL8:AL218,(E8:E218=E180)*(F8:F218=F180)*(G8:G218=G180)*(H8:H218=H180)*(I8:I218=I180)*(N8:N218=TRUE)*(O8:O218=TRUE),0))</f>
        <v>0</v>
      </c>
      <c r="AM180" s="63">
        <f>SUM(_xlfn._xlws.FILTER(AM8:AM218,(E8:E218=E180)*(F8:F218=F180)*(G8:G218=G180)*(H8:H218=H180)*(I8:I218=I180)*(N8:N218=TRUE)*(O8:O218=TRUE),0))</f>
        <v>0</v>
      </c>
      <c r="AN180" s="63"/>
      <c r="AO180" s="63"/>
      <c r="AP180" s="63" t="s">
        <v>234</v>
      </c>
      <c r="AQ180" s="63" t="s">
        <v>234</v>
      </c>
    </row>
    <row r="181" spans="2:43" ht="18" customHeight="1">
      <c r="B181" s="63"/>
      <c r="C181" s="63" t="s">
        <v>257</v>
      </c>
      <c r="D181" s="63" t="s">
        <v>257</v>
      </c>
      <c r="E181" s="63">
        <v>2</v>
      </c>
      <c r="F181" s="63">
        <v>1</v>
      </c>
      <c r="G181" s="63">
        <v>2</v>
      </c>
      <c r="H181" s="63">
        <v>1</v>
      </c>
      <c r="I181" s="63">
        <v>2</v>
      </c>
      <c r="J181" s="63">
        <v>1</v>
      </c>
      <c r="K181" s="72" t="str">
        <f t="shared" si="16"/>
        <v>002.001.002.001.002.001</v>
      </c>
      <c r="L181" s="72">
        <f t="shared" si="17"/>
        <v>1</v>
      </c>
      <c r="M181" s="72">
        <f t="shared" si="18"/>
        <v>5</v>
      </c>
      <c r="N181" s="72" t="b">
        <f t="shared" si="19"/>
        <v>1</v>
      </c>
      <c r="O181" s="72" t="b">
        <f t="shared" si="20"/>
        <v>1</v>
      </c>
      <c r="P181" s="72" t="b">
        <f t="shared" si="21"/>
        <v>1</v>
      </c>
      <c r="Q181" s="72" t="b">
        <f t="shared" si="22"/>
        <v>0</v>
      </c>
      <c r="R181" s="72" t="str">
        <f t="shared" si="23"/>
        <v>2.1.2.1.2.T1</v>
      </c>
      <c r="X181" s="60" t="s">
        <v>253</v>
      </c>
      <c r="Z181" s="63">
        <v>1</v>
      </c>
      <c r="AA181" s="63">
        <f>IF(AB181="完了",1,0)</f>
        <v>0</v>
      </c>
      <c r="AB181" s="63" t="s">
        <v>234</v>
      </c>
      <c r="AC181" s="63">
        <f>AM181/IF(AL181+AM181=0,1,AL181+AM181)</f>
        <v>0</v>
      </c>
      <c r="AD181" s="71"/>
      <c r="AE181" s="63">
        <v>1</v>
      </c>
      <c r="AF181" s="63" t="s">
        <v>234</v>
      </c>
      <c r="AG181" s="63" t="s">
        <v>234</v>
      </c>
      <c r="AH181" s="73"/>
      <c r="AI181" s="63"/>
      <c r="AJ181" s="63"/>
      <c r="AK181" s="63"/>
      <c r="AL181" s="63"/>
      <c r="AM181" s="63"/>
      <c r="AN181" s="63"/>
      <c r="AO181" s="63"/>
      <c r="AP181" s="63" t="s">
        <v>234</v>
      </c>
      <c r="AQ181" s="63" t="s">
        <v>234</v>
      </c>
    </row>
    <row r="182" spans="2:43" ht="18" customHeight="1">
      <c r="B182" s="63"/>
      <c r="C182" s="63" t="s">
        <v>257</v>
      </c>
      <c r="D182" s="63" t="s">
        <v>257</v>
      </c>
      <c r="E182" s="63">
        <v>2</v>
      </c>
      <c r="F182" s="63">
        <v>1</v>
      </c>
      <c r="G182" s="63">
        <v>2</v>
      </c>
      <c r="H182" s="63">
        <v>1</v>
      </c>
      <c r="I182" s="63">
        <v>2</v>
      </c>
      <c r="J182" s="63">
        <v>2</v>
      </c>
      <c r="K182" s="72" t="str">
        <f t="shared" si="16"/>
        <v>002.001.002.001.002.002</v>
      </c>
      <c r="L182" s="72">
        <f t="shared" si="17"/>
        <v>1</v>
      </c>
      <c r="M182" s="72">
        <f t="shared" si="18"/>
        <v>5</v>
      </c>
      <c r="N182" s="72" t="b">
        <f t="shared" si="19"/>
        <v>1</v>
      </c>
      <c r="O182" s="72" t="b">
        <f t="shared" si="20"/>
        <v>1</v>
      </c>
      <c r="P182" s="72" t="b">
        <f t="shared" si="21"/>
        <v>1</v>
      </c>
      <c r="Q182" s="72" t="b">
        <f t="shared" si="22"/>
        <v>0</v>
      </c>
      <c r="R182" s="72" t="str">
        <f t="shared" si="23"/>
        <v>2.1.2.1.2.T2</v>
      </c>
      <c r="X182" s="60" t="s">
        <v>254</v>
      </c>
      <c r="Z182" s="63">
        <v>1</v>
      </c>
      <c r="AA182" s="63">
        <f>IF(AB182="完了",1,0)</f>
        <v>0</v>
      </c>
      <c r="AB182" s="63" t="s">
        <v>234</v>
      </c>
      <c r="AC182" s="63">
        <f>AM182/IF(AL182+AM182=0,1,AL182+AM182)</f>
        <v>0</v>
      </c>
      <c r="AD182" s="71"/>
      <c r="AE182" s="63">
        <v>1</v>
      </c>
      <c r="AF182" s="63" t="s">
        <v>234</v>
      </c>
      <c r="AG182" s="63" t="s">
        <v>234</v>
      </c>
      <c r="AH182" s="73"/>
      <c r="AI182" s="63"/>
      <c r="AJ182" s="63"/>
      <c r="AK182" s="63"/>
      <c r="AL182" s="63"/>
      <c r="AM182" s="63"/>
      <c r="AN182" s="63"/>
      <c r="AO182" s="63"/>
      <c r="AP182" s="63" t="s">
        <v>234</v>
      </c>
      <c r="AQ182" s="63" t="s">
        <v>234</v>
      </c>
    </row>
    <row r="183" spans="2:43" ht="18" customHeight="1">
      <c r="B183" s="63"/>
      <c r="C183" s="63" t="s">
        <v>257</v>
      </c>
      <c r="D183" s="63" t="s">
        <v>257</v>
      </c>
      <c r="E183" s="63">
        <v>2</v>
      </c>
      <c r="F183" s="63">
        <v>1</v>
      </c>
      <c r="G183" s="63">
        <v>2</v>
      </c>
      <c r="H183" s="63">
        <v>1</v>
      </c>
      <c r="I183" s="63">
        <v>2</v>
      </c>
      <c r="J183" s="63">
        <v>3</v>
      </c>
      <c r="K183" s="72" t="str">
        <f t="shared" si="16"/>
        <v>002.001.002.001.002.003</v>
      </c>
      <c r="L183" s="72">
        <f t="shared" si="17"/>
        <v>1</v>
      </c>
      <c r="M183" s="72">
        <f t="shared" si="18"/>
        <v>5</v>
      </c>
      <c r="N183" s="72" t="b">
        <f t="shared" si="19"/>
        <v>1</v>
      </c>
      <c r="O183" s="72" t="b">
        <f t="shared" si="20"/>
        <v>1</v>
      </c>
      <c r="P183" s="72" t="b">
        <f t="shared" si="21"/>
        <v>1</v>
      </c>
      <c r="Q183" s="72" t="b">
        <f t="shared" si="22"/>
        <v>0</v>
      </c>
      <c r="R183" s="72" t="str">
        <f t="shared" si="23"/>
        <v>2.1.2.1.2.T3</v>
      </c>
      <c r="Z183" s="63">
        <v>1</v>
      </c>
      <c r="AA183" s="63">
        <f>IF(AB183="完了",1,0)</f>
        <v>0</v>
      </c>
      <c r="AB183" s="63" t="s">
        <v>234</v>
      </c>
      <c r="AC183" s="63">
        <f>AM183/IF(AL183+AM183=0,1,AL183+AM183)</f>
        <v>0</v>
      </c>
      <c r="AD183" s="71"/>
      <c r="AE183" s="63">
        <v>1</v>
      </c>
      <c r="AF183" s="63" t="s">
        <v>234</v>
      </c>
      <c r="AG183" s="63" t="s">
        <v>234</v>
      </c>
      <c r="AH183" s="73"/>
      <c r="AI183" s="63"/>
      <c r="AJ183" s="63"/>
      <c r="AK183" s="63"/>
      <c r="AL183" s="63"/>
      <c r="AM183" s="63"/>
      <c r="AN183" s="63"/>
      <c r="AO183" s="63"/>
      <c r="AP183" s="63" t="s">
        <v>234</v>
      </c>
      <c r="AQ183" s="63" t="s">
        <v>234</v>
      </c>
    </row>
    <row r="184" spans="2:43" ht="18" customHeight="1">
      <c r="B184" s="63"/>
      <c r="C184" s="63" t="s">
        <v>257</v>
      </c>
      <c r="D184" s="63" t="s">
        <v>257</v>
      </c>
      <c r="E184" s="63">
        <v>2</v>
      </c>
      <c r="F184" s="63">
        <v>1</v>
      </c>
      <c r="G184" s="63">
        <v>2</v>
      </c>
      <c r="H184" s="63">
        <v>2</v>
      </c>
      <c r="I184" s="63"/>
      <c r="J184" s="63"/>
      <c r="K184" s="72" t="str">
        <f t="shared" si="16"/>
        <v>002.001.002.002.---.---</v>
      </c>
      <c r="L184" s="72">
        <f t="shared" si="17"/>
        <v>1</v>
      </c>
      <c r="M184" s="72">
        <f t="shared" si="18"/>
        <v>4</v>
      </c>
      <c r="N184" s="72" t="b">
        <f t="shared" si="19"/>
        <v>0</v>
      </c>
      <c r="O184" s="72" t="b">
        <f t="shared" si="20"/>
        <v>1</v>
      </c>
      <c r="P184" s="72" t="b">
        <f t="shared" si="21"/>
        <v>1</v>
      </c>
      <c r="Q184" s="72" t="b">
        <f t="shared" si="22"/>
        <v>1</v>
      </c>
      <c r="R184" s="72" t="str">
        <f t="shared" si="23"/>
        <v>2.1.2.2</v>
      </c>
      <c r="Z184" s="63">
        <f>SUM(_xlfn._xlws.FILTER(Z8:Z218,(E8:E218=E184)*(F8:F218=F184)*(G8:G218=G184)*(H8:H218=H184)*(ISNUMBER(I8:I218))*(N8:N218=FALSE)*(O8:O218=TRUE),0))+SUM(_xlfn._xlws.FILTER(Z8:Z218,(E8:E218=E184)*(F8:F218=F184)*(G8:G218=G184)*(H8:H218=H184)*(I8:I218="")*(N8:N218=TRUE)*(O8:O218=TRUE),0))</f>
        <v>9</v>
      </c>
      <c r="AA184" s="63">
        <f>SUM(_xlfn._xlws.FILTER(AA8:AA218,(E8:E218=E184)*(F8:F218=F184)*(G8:G218=G184)*(H8:H218=H184)*(ISNUMBER(I8:I218))*(N8:N218=FALSE)*(O8:O218=TRUE),0))+SUM(_xlfn._xlws.FILTER(AA8:AA218,(E8:E218=E184)*(F8:F218=F184)*(G8:G218=G184)*(H8:H218=H184)*(I8:I218="")*(N8:N218=TRUE)*(O8:O218=TRUE),0))</f>
        <v>1</v>
      </c>
      <c r="AB184" s="63" t="s">
        <v>234</v>
      </c>
      <c r="AC184" s="63">
        <f>(SUM(_xlfn._xlws.FILTER(AC8:AC218,(E8:E218=E184)*(F8:F218=F184)*(G8:G218=G184)*(H8:H218=H184)*(ISNUMBER(I8:I218))*(N8:N218=FALSE)*(O8:O218=TRUE),0))+SUM(_xlfn._xlws.FILTER(AC8:AC218,(E8:E218=E184)*(F8:F218=F184)*(G8:G218=G184)*(H8:H218=H184)*(I8:I218="")*(N8:N218=TRUE)*(O8:O218=TRUE),0)))/IF(IFERROR(COUNT(_xlfn._xlws.FILTER(AC8:AC218,(E8:E218=E184)*(F8:F218=F184)*(G8:G218=G184)*(H8:H218=H184)*(ISNUMBER(I8:I218))*(N8:N218=FALSE)*(O8:O218=TRUE))),0)+IFERROR(COUNT(_xlfn._xlws.FILTER(AC8:AC218,(E8:E218=E184)*(F8:F218=F184)*(G8:G218=G184)*(H8:H218=H184)*(I8:I218="")*(N8:N218=TRUE)*(O8:O218=TRUE))),0)=0,1,IFERROR(COUNT(_xlfn._xlws.FILTER(AC8:AC218,(E8:E218=E184)*(F8:F218=F184)*(G8:G218=G184)*(H8:H218=H184)*(ISNUMBER(I8:I218))*(N8:N218=FALSE)*(O8:O218=TRUE))),0)+IFERROR(COUNT(_xlfn._xlws.FILTER(AC8:AC218,(E8:E218=E184)*(F8:F218=F184)*(G8:G218=G184)*(H8:H218=H184)*(I8:I218="")*(N8:N218=TRUE)*(O8:O218=TRUE))),0))</f>
        <v>0</v>
      </c>
      <c r="AD184" s="71">
        <f>(SUM(_xlfn._xlws.FILTER(AD8:AD218*(AE8:AE218),(E8:E218=E184)*(F8:F218=F184)*(G8:G218=G184)*(H8:H218=H184)*(ISNUMBER(I8:I218))*(N8:N218=FALSE)*(O8:O218=TRUE),0))+SUM(_xlfn._xlws.FILTER(AD8:AD218*(AE8:AE218),(E8:E218=E184)*(F8:F218=F184)*(G8:G218=G184)*(H8:H218=H184)*(I8:I218="")*(N8:N218=TRUE)*(O8:O218=TRUE),0)))/IF(SUM(_xlfn._xlws.FILTER(AE8:AE218,(E8:E218=E184)*(F8:F218=F184)*(G8:G218=G184)*(H8:H218=H184)*(ISNUMBER(I8:I218))*(N8:N218=FALSE)*(O8:O218=TRUE),0))+SUM(_xlfn._xlws.FILTER(AE8:AE218,(E8:E218=E184)*(F8:F218=F184)*(G8:G218=G184)*(H8:H218=H184)*(I8:I218="")*(N8:N218=TRUE)*(O8:O218=TRUE),0))=0,1,SUM(_xlfn._xlws.FILTER(AE8:AE218,(E8:E218=E184)*(F8:F218=F184)*(G8:G218=G184)*(H8:H218=H184)*(ISNUMBER(I8:I218))*(N8:N218=FALSE)*(O8:O218=TRUE),0))+SUM(_xlfn._xlws.FILTER(AE8:AE218,(E8:E218=E184)*(F8:F218=F184)*(G8:G218=G184)*(H8:H218=H184)*(I8:I218="")*(N8:N218=TRUE)*(O8:O218=TRUE),0)))</f>
        <v>0</v>
      </c>
      <c r="AE184" s="63">
        <v>1</v>
      </c>
      <c r="AF184" s="63" t="s">
        <v>234</v>
      </c>
      <c r="AG184" s="63" t="s">
        <v>234</v>
      </c>
      <c r="AH184" s="73"/>
      <c r="AI184" s="63">
        <f>SUM(_xlfn._xlws.FILTER(AI8:AI218,(E8:E218=E184)*(F8:F218=F184)*(G8:G218=G184)*(H8:H218=H184)*(ISNUMBER(I8:I218))*(N8:N218=FALSE)*(O8:O218=TRUE),0))+SUM(_xlfn._xlws.FILTER(AI8:AI218,(E8:E218=E184)*(F8:F218=F184)*(G8:G218=G184)*(H8:H218=H184)*(I8:I218="")*(N8:N218=TRUE)*(O8:O218=TRUE),0))</f>
        <v>0</v>
      </c>
      <c r="AJ184" s="63"/>
      <c r="AK184" s="63"/>
      <c r="AL184" s="63">
        <f>SUM(_xlfn._xlws.FILTER(AL8:AL218,(E8:E218=E184)*(F8:F218=F184)*(G8:G218=G184)*(H8:H218=H184)*(ISNUMBER(I8:I218))*(N8:N218=FALSE)*(O8:O218=TRUE),0))+SUM(_xlfn._xlws.FILTER(AL8:AL218,(E8:E218=E184)*(F8:F218=F184)*(G8:G218=G184)*(H8:H218=H184)*(I8:I218="")*(N8:N218=TRUE)*(O8:O218=TRUE),0))</f>
        <v>0</v>
      </c>
      <c r="AM184" s="63">
        <f>SUM(_xlfn._xlws.FILTER(AM8:AM218,(E8:E218=E184)*(F8:F218=F184)*(G8:G218=G184)*(H8:H218=H184)*(ISNUMBER(I8:I218))*(N8:N218=FALSE)*(O8:O218=TRUE),0))+SUM(_xlfn._xlws.FILTER(AM8:AM218,(E8:E218=E184)*(F8:F218=F184)*(G8:G218=G184)*(H8:H218=H184)*(I8:I218="")*(N8:N218=TRUE)*(O8:O218=TRUE),0))</f>
        <v>0</v>
      </c>
      <c r="AN184" s="63"/>
      <c r="AO184" s="63"/>
      <c r="AP184" s="63" t="s">
        <v>234</v>
      </c>
      <c r="AQ184" s="63" t="s">
        <v>234</v>
      </c>
    </row>
    <row r="185" spans="2:43" ht="18" customHeight="1">
      <c r="B185" s="63"/>
      <c r="C185" s="63" t="s">
        <v>257</v>
      </c>
      <c r="D185" s="63" t="s">
        <v>257</v>
      </c>
      <c r="E185" s="63">
        <v>2</v>
      </c>
      <c r="F185" s="63">
        <v>1</v>
      </c>
      <c r="G185" s="63">
        <v>2</v>
      </c>
      <c r="H185" s="63">
        <v>2</v>
      </c>
      <c r="I185" s="63"/>
      <c r="J185" s="63">
        <v>1</v>
      </c>
      <c r="K185" s="72" t="str">
        <f t="shared" si="16"/>
        <v>002.001.002.002.---.001</v>
      </c>
      <c r="L185" s="72">
        <f t="shared" si="17"/>
        <v>1</v>
      </c>
      <c r="M185" s="72">
        <f t="shared" si="18"/>
        <v>4</v>
      </c>
      <c r="N185" s="72" t="b">
        <f t="shared" si="19"/>
        <v>1</v>
      </c>
      <c r="O185" s="72" t="b">
        <f t="shared" si="20"/>
        <v>1</v>
      </c>
      <c r="P185" s="72" t="b">
        <f t="shared" si="21"/>
        <v>1</v>
      </c>
      <c r="Q185" s="72" t="b">
        <f t="shared" si="22"/>
        <v>0</v>
      </c>
      <c r="R185" s="72" t="str">
        <f t="shared" si="23"/>
        <v>2.1.2.2.T1</v>
      </c>
      <c r="X185" s="60" t="s">
        <v>248</v>
      </c>
      <c r="Z185" s="63">
        <v>1</v>
      </c>
      <c r="AA185" s="63">
        <f>IF(AB185="完了",1,0)</f>
        <v>1</v>
      </c>
      <c r="AB185" s="63" t="s">
        <v>204</v>
      </c>
      <c r="AC185" s="63">
        <f>AM185/IF(AL185+AM185=0,1,AL185+AM185)</f>
        <v>0</v>
      </c>
      <c r="AD185" s="71"/>
      <c r="AE185" s="63">
        <v>1</v>
      </c>
      <c r="AF185" s="63" t="s">
        <v>234</v>
      </c>
      <c r="AG185" s="63" t="s">
        <v>234</v>
      </c>
      <c r="AH185" s="73"/>
      <c r="AI185" s="63"/>
      <c r="AJ185" s="63"/>
      <c r="AK185" s="63"/>
      <c r="AL185" s="63"/>
      <c r="AM185" s="63"/>
      <c r="AN185" s="63"/>
      <c r="AO185" s="63"/>
      <c r="AP185" s="63" t="s">
        <v>234</v>
      </c>
      <c r="AQ185" s="63" t="s">
        <v>234</v>
      </c>
    </row>
    <row r="186" spans="2:43" ht="18" customHeight="1">
      <c r="B186" s="63"/>
      <c r="C186" s="63" t="s">
        <v>257</v>
      </c>
      <c r="D186" s="63" t="s">
        <v>257</v>
      </c>
      <c r="E186" s="63">
        <v>2</v>
      </c>
      <c r="F186" s="63">
        <v>1</v>
      </c>
      <c r="G186" s="63">
        <v>2</v>
      </c>
      <c r="H186" s="63">
        <v>2</v>
      </c>
      <c r="I186" s="63"/>
      <c r="J186" s="63">
        <v>2</v>
      </c>
      <c r="K186" s="72" t="str">
        <f t="shared" si="16"/>
        <v>002.001.002.002.---.002</v>
      </c>
      <c r="L186" s="72">
        <f t="shared" si="17"/>
        <v>1</v>
      </c>
      <c r="M186" s="72">
        <f t="shared" si="18"/>
        <v>4</v>
      </c>
      <c r="N186" s="72" t="b">
        <f t="shared" si="19"/>
        <v>1</v>
      </c>
      <c r="O186" s="72" t="b">
        <f t="shared" si="20"/>
        <v>1</v>
      </c>
      <c r="P186" s="72" t="b">
        <f t="shared" si="21"/>
        <v>1</v>
      </c>
      <c r="Q186" s="72" t="b">
        <f t="shared" si="22"/>
        <v>0</v>
      </c>
      <c r="R186" s="72" t="str">
        <f t="shared" si="23"/>
        <v>2.1.2.2.T2</v>
      </c>
      <c r="X186" s="60" t="s">
        <v>249</v>
      </c>
      <c r="Z186" s="63">
        <v>1</v>
      </c>
      <c r="AA186" s="63">
        <f>IF(AB186="完了",1,0)</f>
        <v>0</v>
      </c>
      <c r="AB186" s="63" t="s">
        <v>250</v>
      </c>
      <c r="AC186" s="63">
        <f>AM186/IF(AL186+AM186=0,1,AL186+AM186)</f>
        <v>0</v>
      </c>
      <c r="AD186" s="71"/>
      <c r="AE186" s="63">
        <v>1</v>
      </c>
      <c r="AF186" s="63" t="s">
        <v>234</v>
      </c>
      <c r="AG186" s="63" t="s">
        <v>234</v>
      </c>
      <c r="AH186" s="73"/>
      <c r="AI186" s="63"/>
      <c r="AJ186" s="63"/>
      <c r="AK186" s="63"/>
      <c r="AL186" s="63"/>
      <c r="AM186" s="63"/>
      <c r="AN186" s="63"/>
      <c r="AO186" s="63"/>
      <c r="AP186" s="63" t="s">
        <v>234</v>
      </c>
      <c r="AQ186" s="63" t="s">
        <v>234</v>
      </c>
    </row>
    <row r="187" spans="2:43" ht="18" customHeight="1">
      <c r="B187" s="63"/>
      <c r="C187" s="63" t="s">
        <v>257</v>
      </c>
      <c r="D187" s="63" t="s">
        <v>257</v>
      </c>
      <c r="E187" s="63">
        <v>2</v>
      </c>
      <c r="F187" s="63">
        <v>1</v>
      </c>
      <c r="G187" s="63">
        <v>2</v>
      </c>
      <c r="H187" s="63">
        <v>2</v>
      </c>
      <c r="I187" s="63"/>
      <c r="J187" s="63">
        <v>3</v>
      </c>
      <c r="K187" s="72" t="str">
        <f t="shared" si="16"/>
        <v>002.001.002.002.---.003</v>
      </c>
      <c r="L187" s="72">
        <f t="shared" si="17"/>
        <v>1</v>
      </c>
      <c r="M187" s="72">
        <f t="shared" si="18"/>
        <v>4</v>
      </c>
      <c r="N187" s="72" t="b">
        <f t="shared" si="19"/>
        <v>1</v>
      </c>
      <c r="O187" s="72" t="b">
        <f t="shared" si="20"/>
        <v>1</v>
      </c>
      <c r="P187" s="72" t="b">
        <f t="shared" si="21"/>
        <v>1</v>
      </c>
      <c r="Q187" s="72" t="b">
        <f t="shared" si="22"/>
        <v>0</v>
      </c>
      <c r="R187" s="72" t="str">
        <f t="shared" si="23"/>
        <v>2.1.2.2.T3</v>
      </c>
      <c r="X187" s="60" t="s">
        <v>251</v>
      </c>
      <c r="Z187" s="63">
        <v>1</v>
      </c>
      <c r="AA187" s="63">
        <f>IF(AB187="完了",1,0)</f>
        <v>0</v>
      </c>
      <c r="AB187" s="63" t="s">
        <v>234</v>
      </c>
      <c r="AC187" s="63">
        <f>AM187/IF(AL187+AM187=0,1,AL187+AM187)</f>
        <v>0</v>
      </c>
      <c r="AD187" s="71"/>
      <c r="AE187" s="63">
        <v>1</v>
      </c>
      <c r="AF187" s="63" t="s">
        <v>234</v>
      </c>
      <c r="AG187" s="63" t="s">
        <v>234</v>
      </c>
      <c r="AH187" s="73"/>
      <c r="AI187" s="63"/>
      <c r="AJ187" s="63"/>
      <c r="AK187" s="63"/>
      <c r="AL187" s="63"/>
      <c r="AM187" s="63"/>
      <c r="AN187" s="63"/>
      <c r="AO187" s="63"/>
      <c r="AP187" s="63" t="s">
        <v>234</v>
      </c>
      <c r="AQ187" s="63" t="s">
        <v>234</v>
      </c>
    </row>
    <row r="188" spans="2:43" ht="18" customHeight="1">
      <c r="B188" s="63"/>
      <c r="C188" s="63" t="s">
        <v>257</v>
      </c>
      <c r="D188" s="63" t="s">
        <v>257</v>
      </c>
      <c r="E188" s="63">
        <v>2</v>
      </c>
      <c r="F188" s="63">
        <v>1</v>
      </c>
      <c r="G188" s="63">
        <v>2</v>
      </c>
      <c r="H188" s="63">
        <v>2</v>
      </c>
      <c r="I188" s="63">
        <v>1</v>
      </c>
      <c r="J188" s="63"/>
      <c r="K188" s="72" t="str">
        <f t="shared" si="16"/>
        <v>002.001.002.002.001.---</v>
      </c>
      <c r="L188" s="72">
        <f t="shared" si="17"/>
        <v>1</v>
      </c>
      <c r="M188" s="72">
        <f t="shared" si="18"/>
        <v>5</v>
      </c>
      <c r="N188" s="72" t="b">
        <f t="shared" si="19"/>
        <v>0</v>
      </c>
      <c r="O188" s="72" t="b">
        <f t="shared" si="20"/>
        <v>1</v>
      </c>
      <c r="P188" s="72" t="b">
        <f t="shared" si="21"/>
        <v>1</v>
      </c>
      <c r="Q188" s="72" t="b">
        <f t="shared" si="22"/>
        <v>1</v>
      </c>
      <c r="R188" s="72" t="str">
        <f t="shared" si="23"/>
        <v>2.1.2.2.1</v>
      </c>
      <c r="W188" s="60" t="s">
        <v>252</v>
      </c>
      <c r="Z188" s="63">
        <f>SUM(_xlfn._xlws.FILTER(Z8:Z218,(E8:E218=E188)*(F8:F218=F188)*(G8:G218=G188)*(H8:H218=H188)*(I8:I218=I188)*(N8:N218=TRUE)*(O8:O218=TRUE),0))</f>
        <v>3</v>
      </c>
      <c r="AA188" s="63">
        <f>SUM(_xlfn._xlws.FILTER(AA8:AA218,(E8:E218=E188)*(F8:F218=F188)*(G8:G218=G188)*(H8:H218=H188)*(I8:I218=I188)*(N8:N218=TRUE)*(O8:O218=TRUE),0))</f>
        <v>0</v>
      </c>
      <c r="AB188" s="63" t="s">
        <v>234</v>
      </c>
      <c r="AC188" s="63">
        <f>SUM(_xlfn._xlws.FILTER(AC8:AC218,(E8:E218=E188)*(F8:F218=F188)*(G8:G218=G188)*(H8:H218=H188)*(I8:I218=I188)*(N8:N218=TRUE)*(O8:O218=TRUE),0))/IF(IFERROR(COUNT(_xlfn._xlws.FILTER(AC8:AC218,(E8:E218=E188)*(F8:F218=F188)*(G8:G218=G188)*(H8:H218=H188)*(I8:I218=I188)*(N8:N218=TRUE)*(O8:O218=TRUE))),0)=0,1,IFERROR(COUNT(_xlfn._xlws.FILTER(AC8:AC218,(E8:E218=E188)*(F8:F218=F188)*(G8:G218=G188)*(H8:H218=H188)*(I8:I218=I188)*(N8:N218=TRUE)*(O8:O218=TRUE))),0))</f>
        <v>0</v>
      </c>
      <c r="AD188" s="71">
        <f>SUM(_xlfn._xlws.FILTER(AD8:AD218*(AE8:AE218),(E8:E218=E188)*(F8:F218=F188)*(G8:G218=G188)*(H8:H218=H188)*(I8:I218=I188)*(N8:N218=TRUE)*(O8:O218=TRUE),0))/IF(SUM(_xlfn._xlws.FILTER(AE8:AE218,(E8:E218=E188)*(F8:F218=F188)*(G8:G218=G188)*(H8:H218=H188)*(I8:I218=I188)*(N8:N218=TRUE)*(O8:O218=TRUE),0))=0,1,SUM(_xlfn._xlws.FILTER(AE8:AE218,(E8:E218=E188)*(F8:F218=F188)*(G8:G218=G188)*(H8:H218=H188)*(I8:I218=I188)*(N8:N218=TRUE)*(O8:O218=TRUE),0)))</f>
        <v>0</v>
      </c>
      <c r="AE188" s="63">
        <v>1</v>
      </c>
      <c r="AF188" s="63" t="s">
        <v>234</v>
      </c>
      <c r="AG188" s="63" t="s">
        <v>234</v>
      </c>
      <c r="AH188" s="73"/>
      <c r="AI188" s="63">
        <f>SUM(_xlfn._xlws.FILTER(AI8:AI218,(E8:E218=E188)*(F8:F218=F188)*(G8:G218=G188)*(H8:H218=H188)*(I8:I218=I188)*(N8:N218=TRUE)*(O8:O218=TRUE),0))</f>
        <v>0</v>
      </c>
      <c r="AJ188" s="63"/>
      <c r="AK188" s="63"/>
      <c r="AL188" s="63">
        <f>SUM(_xlfn._xlws.FILTER(AL8:AL218,(E8:E218=E188)*(F8:F218=F188)*(G8:G218=G188)*(H8:H218=H188)*(I8:I218=I188)*(N8:N218=TRUE)*(O8:O218=TRUE),0))</f>
        <v>0</v>
      </c>
      <c r="AM188" s="63">
        <f>SUM(_xlfn._xlws.FILTER(AM8:AM218,(E8:E218=E188)*(F8:F218=F188)*(G8:G218=G188)*(H8:H218=H188)*(I8:I218=I188)*(N8:N218=TRUE)*(O8:O218=TRUE),0))</f>
        <v>0</v>
      </c>
      <c r="AN188" s="63"/>
      <c r="AO188" s="63"/>
      <c r="AP188" s="63" t="s">
        <v>234</v>
      </c>
      <c r="AQ188" s="63" t="s">
        <v>234</v>
      </c>
    </row>
    <row r="189" spans="2:43" ht="18" customHeight="1">
      <c r="B189" s="63"/>
      <c r="C189" s="63" t="s">
        <v>257</v>
      </c>
      <c r="D189" s="63" t="s">
        <v>257</v>
      </c>
      <c r="E189" s="63">
        <v>2</v>
      </c>
      <c r="F189" s="63">
        <v>1</v>
      </c>
      <c r="G189" s="63">
        <v>2</v>
      </c>
      <c r="H189" s="63">
        <v>2</v>
      </c>
      <c r="I189" s="63">
        <v>1</v>
      </c>
      <c r="J189" s="63">
        <v>1</v>
      </c>
      <c r="K189" s="72" t="str">
        <f t="shared" si="16"/>
        <v>002.001.002.002.001.001</v>
      </c>
      <c r="L189" s="72">
        <f t="shared" si="17"/>
        <v>1</v>
      </c>
      <c r="M189" s="72">
        <f t="shared" si="18"/>
        <v>5</v>
      </c>
      <c r="N189" s="72" t="b">
        <f t="shared" si="19"/>
        <v>1</v>
      </c>
      <c r="O189" s="72" t="b">
        <f t="shared" si="20"/>
        <v>1</v>
      </c>
      <c r="P189" s="72" t="b">
        <f t="shared" si="21"/>
        <v>1</v>
      </c>
      <c r="Q189" s="72" t="b">
        <f t="shared" si="22"/>
        <v>0</v>
      </c>
      <c r="R189" s="72" t="str">
        <f t="shared" si="23"/>
        <v>2.1.2.2.1.T1</v>
      </c>
      <c r="X189" s="60" t="s">
        <v>253</v>
      </c>
      <c r="Z189" s="63">
        <v>1</v>
      </c>
      <c r="AA189" s="63">
        <f>IF(AB189="完了",1,0)</f>
        <v>0</v>
      </c>
      <c r="AB189" s="63" t="s">
        <v>234</v>
      </c>
      <c r="AC189" s="63">
        <f>AM189/IF(AL189+AM189=0,1,AL189+AM189)</f>
        <v>0</v>
      </c>
      <c r="AD189" s="71"/>
      <c r="AE189" s="63">
        <v>1</v>
      </c>
      <c r="AF189" s="63" t="s">
        <v>234</v>
      </c>
      <c r="AG189" s="63" t="s">
        <v>234</v>
      </c>
      <c r="AH189" s="73"/>
      <c r="AI189" s="63"/>
      <c r="AJ189" s="63"/>
      <c r="AK189" s="63"/>
      <c r="AL189" s="63"/>
      <c r="AM189" s="63"/>
      <c r="AN189" s="63"/>
      <c r="AO189" s="63"/>
      <c r="AP189" s="63" t="s">
        <v>234</v>
      </c>
      <c r="AQ189" s="63" t="s">
        <v>234</v>
      </c>
    </row>
    <row r="190" spans="2:43" ht="18" customHeight="1">
      <c r="B190" s="63"/>
      <c r="C190" s="63" t="s">
        <v>257</v>
      </c>
      <c r="D190" s="63" t="s">
        <v>257</v>
      </c>
      <c r="E190" s="63">
        <v>2</v>
      </c>
      <c r="F190" s="63">
        <v>1</v>
      </c>
      <c r="G190" s="63">
        <v>2</v>
      </c>
      <c r="H190" s="63">
        <v>2</v>
      </c>
      <c r="I190" s="63">
        <v>1</v>
      </c>
      <c r="J190" s="63">
        <v>2</v>
      </c>
      <c r="K190" s="72" t="str">
        <f t="shared" si="16"/>
        <v>002.001.002.002.001.002</v>
      </c>
      <c r="L190" s="72">
        <f t="shared" si="17"/>
        <v>1</v>
      </c>
      <c r="M190" s="72">
        <f t="shared" si="18"/>
        <v>5</v>
      </c>
      <c r="N190" s="72" t="b">
        <f t="shared" si="19"/>
        <v>1</v>
      </c>
      <c r="O190" s="72" t="b">
        <f t="shared" si="20"/>
        <v>1</v>
      </c>
      <c r="P190" s="72" t="b">
        <f t="shared" si="21"/>
        <v>1</v>
      </c>
      <c r="Q190" s="72" t="b">
        <f t="shared" si="22"/>
        <v>0</v>
      </c>
      <c r="R190" s="72" t="str">
        <f t="shared" si="23"/>
        <v>2.1.2.2.1.T2</v>
      </c>
      <c r="X190" s="60" t="s">
        <v>254</v>
      </c>
      <c r="Z190" s="63">
        <v>1</v>
      </c>
      <c r="AA190" s="63">
        <f>IF(AB190="完了",1,0)</f>
        <v>0</v>
      </c>
      <c r="AB190" s="63" t="s">
        <v>234</v>
      </c>
      <c r="AC190" s="63">
        <f>AM190/IF(AL190+AM190=0,1,AL190+AM190)</f>
        <v>0</v>
      </c>
      <c r="AD190" s="71"/>
      <c r="AE190" s="63">
        <v>1</v>
      </c>
      <c r="AF190" s="63" t="s">
        <v>234</v>
      </c>
      <c r="AG190" s="63" t="s">
        <v>234</v>
      </c>
      <c r="AH190" s="73"/>
      <c r="AI190" s="63"/>
      <c r="AJ190" s="63"/>
      <c r="AK190" s="63"/>
      <c r="AL190" s="63"/>
      <c r="AM190" s="63"/>
      <c r="AN190" s="63"/>
      <c r="AO190" s="63"/>
      <c r="AP190" s="63" t="s">
        <v>234</v>
      </c>
      <c r="AQ190" s="63" t="s">
        <v>234</v>
      </c>
    </row>
    <row r="191" spans="2:43" ht="18" customHeight="1">
      <c r="B191" s="63"/>
      <c r="C191" s="63" t="s">
        <v>257</v>
      </c>
      <c r="D191" s="63" t="s">
        <v>257</v>
      </c>
      <c r="E191" s="63">
        <v>2</v>
      </c>
      <c r="F191" s="63">
        <v>1</v>
      </c>
      <c r="G191" s="63">
        <v>2</v>
      </c>
      <c r="H191" s="63">
        <v>2</v>
      </c>
      <c r="I191" s="63">
        <v>1</v>
      </c>
      <c r="J191" s="63">
        <v>3</v>
      </c>
      <c r="K191" s="72" t="str">
        <f t="shared" si="16"/>
        <v>002.001.002.002.001.003</v>
      </c>
      <c r="L191" s="72">
        <f t="shared" si="17"/>
        <v>1</v>
      </c>
      <c r="M191" s="72">
        <f t="shared" si="18"/>
        <v>5</v>
      </c>
      <c r="N191" s="72" t="b">
        <f t="shared" si="19"/>
        <v>1</v>
      </c>
      <c r="O191" s="72" t="b">
        <f t="shared" si="20"/>
        <v>1</v>
      </c>
      <c r="P191" s="72" t="b">
        <f t="shared" si="21"/>
        <v>1</v>
      </c>
      <c r="Q191" s="72" t="b">
        <f t="shared" si="22"/>
        <v>0</v>
      </c>
      <c r="R191" s="72" t="str">
        <f t="shared" si="23"/>
        <v>2.1.2.2.1.T3</v>
      </c>
      <c r="Z191" s="63">
        <v>1</v>
      </c>
      <c r="AA191" s="63">
        <f>IF(AB191="完了",1,0)</f>
        <v>0</v>
      </c>
      <c r="AB191" s="63" t="s">
        <v>234</v>
      </c>
      <c r="AC191" s="63">
        <f>AM191/IF(AL191+AM191=0,1,AL191+AM191)</f>
        <v>0</v>
      </c>
      <c r="AD191" s="71"/>
      <c r="AE191" s="63">
        <v>1</v>
      </c>
      <c r="AF191" s="63" t="s">
        <v>234</v>
      </c>
      <c r="AG191" s="63" t="s">
        <v>234</v>
      </c>
      <c r="AH191" s="73"/>
      <c r="AI191" s="63"/>
      <c r="AJ191" s="63"/>
      <c r="AK191" s="63"/>
      <c r="AL191" s="63"/>
      <c r="AM191" s="63"/>
      <c r="AN191" s="63"/>
      <c r="AO191" s="63"/>
      <c r="AP191" s="63" t="s">
        <v>234</v>
      </c>
      <c r="AQ191" s="63" t="s">
        <v>234</v>
      </c>
    </row>
    <row r="192" spans="2:43" ht="18" customHeight="1">
      <c r="B192" s="63"/>
      <c r="C192" s="63" t="s">
        <v>257</v>
      </c>
      <c r="D192" s="63" t="s">
        <v>257</v>
      </c>
      <c r="E192" s="63">
        <v>2</v>
      </c>
      <c r="F192" s="63">
        <v>1</v>
      </c>
      <c r="G192" s="63">
        <v>2</v>
      </c>
      <c r="H192" s="63">
        <v>2</v>
      </c>
      <c r="I192" s="63">
        <v>2</v>
      </c>
      <c r="J192" s="63"/>
      <c r="K192" s="72" t="str">
        <f t="shared" si="16"/>
        <v>002.001.002.002.002.---</v>
      </c>
      <c r="L192" s="72">
        <f t="shared" si="17"/>
        <v>1</v>
      </c>
      <c r="M192" s="72">
        <f t="shared" si="18"/>
        <v>5</v>
      </c>
      <c r="N192" s="72" t="b">
        <f t="shared" si="19"/>
        <v>0</v>
      </c>
      <c r="O192" s="72" t="b">
        <f t="shared" si="20"/>
        <v>1</v>
      </c>
      <c r="P192" s="72" t="b">
        <f t="shared" si="21"/>
        <v>1</v>
      </c>
      <c r="Q192" s="72" t="b">
        <f t="shared" si="22"/>
        <v>1</v>
      </c>
      <c r="R192" s="72" t="str">
        <f t="shared" si="23"/>
        <v>2.1.2.2.2</v>
      </c>
      <c r="Z192" s="63">
        <f>SUM(_xlfn._xlws.FILTER(Z8:Z218,(E8:E218=E192)*(F8:F218=F192)*(G8:G218=G192)*(H8:H218=H192)*(I8:I218=I192)*(N8:N218=TRUE)*(O8:O218=TRUE),0))</f>
        <v>3</v>
      </c>
      <c r="AA192" s="63">
        <f>SUM(_xlfn._xlws.FILTER(AA8:AA218,(E8:E218=E192)*(F8:F218=F192)*(G8:G218=G192)*(H8:H218=H192)*(I8:I218=I192)*(N8:N218=TRUE)*(O8:O218=TRUE),0))</f>
        <v>0</v>
      </c>
      <c r="AB192" s="63" t="s">
        <v>234</v>
      </c>
      <c r="AC192" s="63">
        <f>SUM(_xlfn._xlws.FILTER(AC8:AC218,(E8:E218=E192)*(F8:F218=F192)*(G8:G218=G192)*(H8:H218=H192)*(I8:I218=I192)*(N8:N218=TRUE)*(O8:O218=TRUE),0))/IF(IFERROR(COUNT(_xlfn._xlws.FILTER(AC8:AC218,(E8:E218=E192)*(F8:F218=F192)*(G8:G218=G192)*(H8:H218=H192)*(I8:I218=I192)*(N8:N218=TRUE)*(O8:O218=TRUE))),0)=0,1,IFERROR(COUNT(_xlfn._xlws.FILTER(AC8:AC218,(E8:E218=E192)*(F8:F218=F192)*(G8:G218=G192)*(H8:H218=H192)*(I8:I218=I192)*(N8:N218=TRUE)*(O8:O218=TRUE))),0))</f>
        <v>0</v>
      </c>
      <c r="AD192" s="71">
        <f>SUM(_xlfn._xlws.FILTER(AD8:AD218*(AE8:AE218),(E8:E218=E192)*(F8:F218=F192)*(G8:G218=G192)*(H8:H218=H192)*(I8:I218=I192)*(N8:N218=TRUE)*(O8:O218=TRUE),0))/IF(SUM(_xlfn._xlws.FILTER(AE8:AE218,(E8:E218=E192)*(F8:F218=F192)*(G8:G218=G192)*(H8:H218=H192)*(I8:I218=I192)*(N8:N218=TRUE)*(O8:O218=TRUE),0))=0,1,SUM(_xlfn._xlws.FILTER(AE8:AE218,(E8:E218=E192)*(F8:F218=F192)*(G8:G218=G192)*(H8:H218=H192)*(I8:I218=I192)*(N8:N218=TRUE)*(O8:O218=TRUE),0)))</f>
        <v>0</v>
      </c>
      <c r="AE192" s="63">
        <v>1</v>
      </c>
      <c r="AF192" s="63" t="s">
        <v>234</v>
      </c>
      <c r="AG192" s="63" t="s">
        <v>234</v>
      </c>
      <c r="AH192" s="73"/>
      <c r="AI192" s="63">
        <f>SUM(_xlfn._xlws.FILTER(AI8:AI218,(E8:E218=E192)*(F8:F218=F192)*(G8:G218=G192)*(H8:H218=H192)*(I8:I218=I192)*(N8:N218=TRUE)*(O8:O218=TRUE),0))</f>
        <v>0</v>
      </c>
      <c r="AJ192" s="63"/>
      <c r="AK192" s="63"/>
      <c r="AL192" s="63">
        <f>SUM(_xlfn._xlws.FILTER(AL8:AL218,(E8:E218=E192)*(F8:F218=F192)*(G8:G218=G192)*(H8:H218=H192)*(I8:I218=I192)*(N8:N218=TRUE)*(O8:O218=TRUE),0))</f>
        <v>0</v>
      </c>
      <c r="AM192" s="63">
        <f>SUM(_xlfn._xlws.FILTER(AM8:AM218,(E8:E218=E192)*(F8:F218=F192)*(G8:G218=G192)*(H8:H218=H192)*(I8:I218=I192)*(N8:N218=TRUE)*(O8:O218=TRUE),0))</f>
        <v>0</v>
      </c>
      <c r="AN192" s="63"/>
      <c r="AO192" s="63"/>
      <c r="AP192" s="63" t="s">
        <v>234</v>
      </c>
      <c r="AQ192" s="63" t="s">
        <v>234</v>
      </c>
    </row>
    <row r="193" spans="2:43" ht="18" customHeight="1">
      <c r="B193" s="63"/>
      <c r="C193" s="63" t="s">
        <v>257</v>
      </c>
      <c r="D193" s="63" t="s">
        <v>257</v>
      </c>
      <c r="E193" s="63">
        <v>2</v>
      </c>
      <c r="F193" s="63">
        <v>1</v>
      </c>
      <c r="G193" s="63">
        <v>2</v>
      </c>
      <c r="H193" s="63">
        <v>2</v>
      </c>
      <c r="I193" s="63">
        <v>2</v>
      </c>
      <c r="J193" s="63">
        <v>1</v>
      </c>
      <c r="K193" s="72" t="str">
        <f t="shared" si="16"/>
        <v>002.001.002.002.002.001</v>
      </c>
      <c r="L193" s="72">
        <f t="shared" si="17"/>
        <v>1</v>
      </c>
      <c r="M193" s="72">
        <f t="shared" si="18"/>
        <v>5</v>
      </c>
      <c r="N193" s="72" t="b">
        <f t="shared" si="19"/>
        <v>1</v>
      </c>
      <c r="O193" s="72" t="b">
        <f t="shared" si="20"/>
        <v>1</v>
      </c>
      <c r="P193" s="72" t="b">
        <f t="shared" si="21"/>
        <v>1</v>
      </c>
      <c r="Q193" s="72" t="b">
        <f t="shared" si="22"/>
        <v>0</v>
      </c>
      <c r="R193" s="72" t="str">
        <f t="shared" si="23"/>
        <v>2.1.2.2.2.T1</v>
      </c>
      <c r="X193" s="60" t="s">
        <v>253</v>
      </c>
      <c r="Z193" s="63">
        <v>1</v>
      </c>
      <c r="AA193" s="63">
        <f>IF(AB193="完了",1,0)</f>
        <v>0</v>
      </c>
      <c r="AB193" s="63" t="s">
        <v>234</v>
      </c>
      <c r="AC193" s="63">
        <f>AM193/IF(AL193+AM193=0,1,AL193+AM193)</f>
        <v>0</v>
      </c>
      <c r="AD193" s="71"/>
      <c r="AE193" s="63">
        <v>1</v>
      </c>
      <c r="AF193" s="63" t="s">
        <v>234</v>
      </c>
      <c r="AG193" s="63" t="s">
        <v>234</v>
      </c>
      <c r="AH193" s="73"/>
      <c r="AI193" s="63"/>
      <c r="AJ193" s="63"/>
      <c r="AK193" s="63"/>
      <c r="AL193" s="63"/>
      <c r="AM193" s="63"/>
      <c r="AN193" s="63"/>
      <c r="AO193" s="63"/>
      <c r="AP193" s="63" t="s">
        <v>234</v>
      </c>
      <c r="AQ193" s="63" t="s">
        <v>234</v>
      </c>
    </row>
    <row r="194" spans="2:43" ht="18" customHeight="1">
      <c r="B194" s="63"/>
      <c r="C194" s="63" t="s">
        <v>257</v>
      </c>
      <c r="D194" s="63" t="s">
        <v>257</v>
      </c>
      <c r="E194" s="63">
        <v>2</v>
      </c>
      <c r="F194" s="63">
        <v>1</v>
      </c>
      <c r="G194" s="63">
        <v>2</v>
      </c>
      <c r="H194" s="63">
        <v>2</v>
      </c>
      <c r="I194" s="63">
        <v>2</v>
      </c>
      <c r="J194" s="63">
        <v>2</v>
      </c>
      <c r="K194" s="72" t="str">
        <f t="shared" si="16"/>
        <v>002.001.002.002.002.002</v>
      </c>
      <c r="L194" s="72">
        <f t="shared" si="17"/>
        <v>1</v>
      </c>
      <c r="M194" s="72">
        <f t="shared" si="18"/>
        <v>5</v>
      </c>
      <c r="N194" s="72" t="b">
        <f t="shared" si="19"/>
        <v>1</v>
      </c>
      <c r="O194" s="72" t="b">
        <f t="shared" si="20"/>
        <v>1</v>
      </c>
      <c r="P194" s="72" t="b">
        <f t="shared" si="21"/>
        <v>1</v>
      </c>
      <c r="Q194" s="72" t="b">
        <f t="shared" si="22"/>
        <v>0</v>
      </c>
      <c r="R194" s="72" t="str">
        <f t="shared" si="23"/>
        <v>2.1.2.2.2.T2</v>
      </c>
      <c r="X194" s="60" t="s">
        <v>254</v>
      </c>
      <c r="Z194" s="63">
        <v>1</v>
      </c>
      <c r="AA194" s="63">
        <f>IF(AB194="完了",1,0)</f>
        <v>0</v>
      </c>
      <c r="AB194" s="63" t="s">
        <v>234</v>
      </c>
      <c r="AC194" s="63">
        <f>AM194/IF(AL194+AM194=0,1,AL194+AM194)</f>
        <v>0</v>
      </c>
      <c r="AD194" s="71"/>
      <c r="AE194" s="63">
        <v>1</v>
      </c>
      <c r="AF194" s="63" t="s">
        <v>234</v>
      </c>
      <c r="AG194" s="63" t="s">
        <v>234</v>
      </c>
      <c r="AH194" s="73"/>
      <c r="AI194" s="63"/>
      <c r="AJ194" s="63"/>
      <c r="AK194" s="63"/>
      <c r="AL194" s="63"/>
      <c r="AM194" s="63"/>
      <c r="AN194" s="63"/>
      <c r="AO194" s="63"/>
      <c r="AP194" s="63" t="s">
        <v>234</v>
      </c>
      <c r="AQ194" s="63" t="s">
        <v>234</v>
      </c>
    </row>
    <row r="195" spans="2:43" ht="18" customHeight="1">
      <c r="B195" s="63"/>
      <c r="C195" s="63" t="s">
        <v>257</v>
      </c>
      <c r="D195" s="63" t="s">
        <v>257</v>
      </c>
      <c r="E195" s="63">
        <v>2</v>
      </c>
      <c r="F195" s="63">
        <v>1</v>
      </c>
      <c r="G195" s="63">
        <v>2</v>
      </c>
      <c r="H195" s="63">
        <v>2</v>
      </c>
      <c r="I195" s="63">
        <v>2</v>
      </c>
      <c r="J195" s="63">
        <v>3</v>
      </c>
      <c r="K195" s="72" t="str">
        <f t="shared" si="16"/>
        <v>002.001.002.002.002.003</v>
      </c>
      <c r="L195" s="72">
        <f t="shared" si="17"/>
        <v>1</v>
      </c>
      <c r="M195" s="72">
        <f t="shared" si="18"/>
        <v>5</v>
      </c>
      <c r="N195" s="72" t="b">
        <f t="shared" si="19"/>
        <v>1</v>
      </c>
      <c r="O195" s="72" t="b">
        <f t="shared" si="20"/>
        <v>1</v>
      </c>
      <c r="P195" s="72" t="b">
        <f t="shared" si="21"/>
        <v>1</v>
      </c>
      <c r="Q195" s="72" t="b">
        <f t="shared" si="22"/>
        <v>0</v>
      </c>
      <c r="R195" s="72" t="str">
        <f t="shared" si="23"/>
        <v>2.1.2.2.2.T3</v>
      </c>
      <c r="Z195" s="63">
        <v>1</v>
      </c>
      <c r="AA195" s="63">
        <f>IF(AB195="完了",1,0)</f>
        <v>0</v>
      </c>
      <c r="AB195" s="63" t="s">
        <v>234</v>
      </c>
      <c r="AC195" s="63">
        <f>AM195/IF(AL195+AM195=0,1,AL195+AM195)</f>
        <v>0</v>
      </c>
      <c r="AD195" s="71"/>
      <c r="AE195" s="63">
        <v>1</v>
      </c>
      <c r="AF195" s="63" t="s">
        <v>234</v>
      </c>
      <c r="AG195" s="63" t="s">
        <v>234</v>
      </c>
      <c r="AH195" s="73"/>
      <c r="AI195" s="63"/>
      <c r="AJ195" s="63"/>
      <c r="AK195" s="63"/>
      <c r="AL195" s="63"/>
      <c r="AM195" s="63"/>
      <c r="AN195" s="63"/>
      <c r="AO195" s="63"/>
      <c r="AP195" s="63" t="s">
        <v>234</v>
      </c>
      <c r="AQ195" s="63" t="s">
        <v>234</v>
      </c>
    </row>
    <row r="196" spans="2:43" ht="18" customHeight="1">
      <c r="B196" s="63"/>
      <c r="C196" s="63" t="s">
        <v>257</v>
      </c>
      <c r="D196" s="63" t="s">
        <v>257</v>
      </c>
      <c r="E196" s="63">
        <v>2</v>
      </c>
      <c r="F196" s="63">
        <v>2</v>
      </c>
      <c r="G196" s="63"/>
      <c r="H196" s="63"/>
      <c r="I196" s="63"/>
      <c r="J196" s="63"/>
      <c r="K196" s="72" t="str">
        <f t="shared" si="16"/>
        <v>002.002.---.---.---.---</v>
      </c>
      <c r="L196" s="72">
        <f t="shared" si="17"/>
        <v>1</v>
      </c>
      <c r="M196" s="72">
        <f t="shared" si="18"/>
        <v>2</v>
      </c>
      <c r="N196" s="72" t="b">
        <f t="shared" si="19"/>
        <v>0</v>
      </c>
      <c r="O196" s="72" t="b">
        <f t="shared" si="20"/>
        <v>1</v>
      </c>
      <c r="P196" s="72" t="b">
        <f t="shared" si="21"/>
        <v>1</v>
      </c>
      <c r="Q196" s="72" t="b">
        <f t="shared" si="22"/>
        <v>1</v>
      </c>
      <c r="R196" s="72" t="str">
        <f t="shared" si="23"/>
        <v>2.2</v>
      </c>
      <c r="Z196" s="63">
        <f>SUM(_xlfn._xlws.FILTER(Z8:Z218,(E8:E218=E196)*(F8:F218=F196)*(ISNUMBER(G8:G218))*(H8:H218="")*(I8:I218="")*(N8:N218=FALSE)*(O8:O218=TRUE),0))+SUM(_xlfn._xlws.FILTER(Z8:Z218,(E8:E218=E196)*(F8:F218=F196)*(G8:G218="")*(H8:H218="")*(I8:I218="")*(N8:N218=TRUE)*(O8:O218=TRUE),0))</f>
        <v>14</v>
      </c>
      <c r="AA196" s="63">
        <f>SUM(_xlfn._xlws.FILTER(AA8:AA218,(E8:E218=E196)*(F8:F218=F196)*(ISNUMBER(G8:G218))*(H8:H218="")*(I8:I218="")*(N8:N218=FALSE)*(O8:O218=TRUE),0))+SUM(_xlfn._xlws.FILTER(AA8:AA218,(E8:E218=E196)*(F8:F218=F196)*(G8:G218="")*(H8:H218="")*(I8:I218="")*(N8:N218=TRUE)*(O8:O218=TRUE),0))</f>
        <v>2</v>
      </c>
      <c r="AB196" s="63" t="s">
        <v>234</v>
      </c>
      <c r="AC196" s="63">
        <f>(SUM(_xlfn._xlws.FILTER(AC8:AC218,(E8:E218=E196)*(F8:F218=F196)*(ISNUMBER(G8:G218))*(H8:H218="")*(I8:I218="")*(N8:N218=FALSE)*(O8:O218=TRUE),0))+SUM(_xlfn._xlws.FILTER(AC8:AC218,(E8:E218=E196)*(F8:F218=F196)*(G8:G218="")*(H8:H218="")*(I8:I218="")*(N8:N218=TRUE)*(O8:O218=TRUE),0)))/IF(IFERROR(COUNT(_xlfn._xlws.FILTER(AC8:AC218,(E8:E218=E196)*(F8:F218=F196)*(ISNUMBER(G8:G218))*(H8:H218="")*(I8:I218="")*(N8:N218=FALSE)*(O8:O218=TRUE))),0)+IFERROR(COUNT(_xlfn._xlws.FILTER(AC8:AC218,(E8:E218=E196)*(F8:F218=F196)*(G8:G218="")*(H8:H218="")*(I8:I218="")*(N8:N218=TRUE)*(O8:O218=TRUE))),0)=0,1,IFERROR(COUNT(_xlfn._xlws.FILTER(AC8:AC218,(E8:E218=E196)*(F8:F218=F196)*(ISNUMBER(G8:G218))*(H8:H218="")*(I8:I218="")*(N8:N218=FALSE)*(O8:O218=TRUE))),0)+IFERROR(COUNT(_xlfn._xlws.FILTER(AC8:AC218,(E8:E218=E196)*(F8:F218=F196)*(G8:G218="")*(H8:H218="")*(I8:I218="")*(N8:N218=TRUE)*(O8:O218=TRUE))),0))</f>
        <v>0</v>
      </c>
      <c r="AD196" s="71">
        <f>(SUM(_xlfn._xlws.FILTER(AD8:AD218*(AE8:AE218),(E8:E218=E196)*(F8:F218=F196)*(ISNUMBER(G8:G218))*(H8:H218="")*(I8:I218="")*(N8:N218=FALSE)*(O8:O218=TRUE),0))+SUM(_xlfn._xlws.FILTER(AD8:AD218*(AE8:AE218),(E8:E218=E196)*(F8:F218=F196)*(G8:G218="")*(H8:H218="")*(I8:I218="")*(N8:N218=TRUE)*(O8:O218=TRUE),0)))/IF(SUM(_xlfn._xlws.FILTER(AE8:AE218,(E8:E218=E196)*(F8:F218=F196)*(ISNUMBER(G8:G218))*(H8:H218="")*(I8:I218="")*(N8:N218=FALSE)*(O8:O218=TRUE),0))+SUM(_xlfn._xlws.FILTER(AE8:AE218,(E8:E218=E196)*(F8:F218=F196)*(G8:G218="")*(H8:H218="")*(I8:I218="")*(N8:N218=TRUE)*(O8:O218=TRUE),0))=0,1,SUM(_xlfn._xlws.FILTER(AE8:AE218,(E8:E218=E196)*(F8:F218=F196)*(ISNUMBER(G8:G218))*(H8:H218="")*(I8:I218="")*(N8:N218=FALSE)*(O8:O218=TRUE),0))+SUM(_xlfn._xlws.FILTER(AE8:AE218,(E8:E218=E196)*(F8:F218=F196)*(G8:G218="")*(H8:H218="")*(I8:I218="")*(N8:N218=TRUE)*(O8:O218=TRUE),0)))</f>
        <v>0</v>
      </c>
      <c r="AE196" s="63">
        <v>1</v>
      </c>
      <c r="AF196" s="63" t="s">
        <v>234</v>
      </c>
      <c r="AG196" s="63" t="s">
        <v>234</v>
      </c>
      <c r="AH196" s="73"/>
      <c r="AI196" s="63">
        <f>SUM(_xlfn._xlws.FILTER(AI8:AI218,(E8:E218=E196)*(F8:F218=F196)*(ISNUMBER(G8:G218))*(H8:H218="")*(I8:I218="")*(N8:N218=FALSE)*(O8:O218=TRUE),0))+SUM(_xlfn._xlws.FILTER(AI8:AI218,(E8:E218=E196)*(F8:F218=F196)*(G8:G218="")*(H8:H218="")*(I8:I218="")*(N8:N218=TRUE)*(O8:O218=TRUE),0))</f>
        <v>0</v>
      </c>
      <c r="AJ196" s="63"/>
      <c r="AK196" s="63"/>
      <c r="AL196" s="63">
        <f>SUM(_xlfn._xlws.FILTER(AL8:AL218,(E8:E218=E196)*(F8:F218=F196)*(ISNUMBER(G8:G218))*(H8:H218="")*(I8:I218="")*(N8:N218=FALSE)*(O8:O218=TRUE),0))+SUM(_xlfn._xlws.FILTER(AL8:AL218,(E8:E218=E196)*(F8:F218=F196)*(G8:G218="")*(H8:H218="")*(I8:I218="")*(N8:N218=TRUE)*(O8:O218=TRUE),0))</f>
        <v>0</v>
      </c>
      <c r="AM196" s="63">
        <f>SUM(_xlfn._xlws.FILTER(AM8:AM218,(E8:E218=E196)*(F8:F218=F196)*(ISNUMBER(G8:G218))*(H8:H218="")*(I8:I218="")*(N8:N218=FALSE)*(O8:O218=TRUE),0))+SUM(_xlfn._xlws.FILTER(AM8:AM218,(E8:E218=E196)*(F8:F218=F196)*(G8:G218="")*(H8:H218="")*(I8:I218="")*(N8:N218=TRUE)*(O8:O218=TRUE),0))</f>
        <v>0</v>
      </c>
      <c r="AN196" s="63"/>
      <c r="AO196" s="63"/>
      <c r="AP196" s="63" t="s">
        <v>234</v>
      </c>
      <c r="AQ196" s="63" t="s">
        <v>234</v>
      </c>
    </row>
    <row r="197" spans="2:43" ht="18" customHeight="1">
      <c r="B197" s="63"/>
      <c r="C197" s="63" t="s">
        <v>257</v>
      </c>
      <c r="D197" s="63" t="s">
        <v>257</v>
      </c>
      <c r="E197" s="63">
        <v>2</v>
      </c>
      <c r="F197" s="63">
        <v>2</v>
      </c>
      <c r="G197" s="63"/>
      <c r="H197" s="63"/>
      <c r="I197" s="63"/>
      <c r="J197" s="63">
        <v>1</v>
      </c>
      <c r="K197" s="72" t="str">
        <f t="shared" si="16"/>
        <v>002.002.---.---.---.001</v>
      </c>
      <c r="L197" s="72">
        <f t="shared" si="17"/>
        <v>1</v>
      </c>
      <c r="M197" s="72">
        <f t="shared" si="18"/>
        <v>2</v>
      </c>
      <c r="N197" s="72" t="b">
        <f t="shared" si="19"/>
        <v>1</v>
      </c>
      <c r="O197" s="72" t="b">
        <f t="shared" si="20"/>
        <v>1</v>
      </c>
      <c r="P197" s="72" t="b">
        <f t="shared" si="21"/>
        <v>1</v>
      </c>
      <c r="Q197" s="72" t="b">
        <f t="shared" si="22"/>
        <v>0</v>
      </c>
      <c r="R197" s="72" t="str">
        <f t="shared" si="23"/>
        <v>2.2.T1</v>
      </c>
      <c r="X197" s="60" t="s">
        <v>236</v>
      </c>
      <c r="Z197" s="63">
        <v>1</v>
      </c>
      <c r="AA197" s="63">
        <f>IF(AB197="完了",1,0)</f>
        <v>0</v>
      </c>
      <c r="AB197" s="63" t="s">
        <v>237</v>
      </c>
      <c r="AC197" s="63">
        <f>AM197/IF(AL197+AM197=0,1,AL197+AM197)</f>
        <v>0</v>
      </c>
      <c r="AD197" s="71"/>
      <c r="AE197" s="63">
        <v>1</v>
      </c>
      <c r="AF197" s="63" t="s">
        <v>234</v>
      </c>
      <c r="AG197" s="63" t="s">
        <v>234</v>
      </c>
      <c r="AH197" s="73"/>
      <c r="AI197" s="63"/>
      <c r="AJ197" s="63"/>
      <c r="AK197" s="63"/>
      <c r="AL197" s="63"/>
      <c r="AM197" s="63"/>
      <c r="AN197" s="63"/>
      <c r="AO197" s="63"/>
      <c r="AP197" s="63" t="s">
        <v>234</v>
      </c>
      <c r="AQ197" s="63" t="s">
        <v>234</v>
      </c>
    </row>
    <row r="198" spans="2:43" ht="18" customHeight="1">
      <c r="B198" s="63"/>
      <c r="C198" s="63" t="s">
        <v>257</v>
      </c>
      <c r="D198" s="63" t="s">
        <v>257</v>
      </c>
      <c r="E198" s="63">
        <v>2</v>
      </c>
      <c r="F198" s="63">
        <v>2</v>
      </c>
      <c r="G198" s="63"/>
      <c r="H198" s="63"/>
      <c r="I198" s="63"/>
      <c r="J198" s="63">
        <v>2</v>
      </c>
      <c r="K198" s="72" t="str">
        <f t="shared" si="16"/>
        <v>002.002.---.---.---.002</v>
      </c>
      <c r="L198" s="72">
        <f t="shared" si="17"/>
        <v>1</v>
      </c>
      <c r="M198" s="72">
        <f t="shared" si="18"/>
        <v>2</v>
      </c>
      <c r="N198" s="72" t="b">
        <f t="shared" si="19"/>
        <v>1</v>
      </c>
      <c r="O198" s="72" t="b">
        <f t="shared" si="20"/>
        <v>0</v>
      </c>
      <c r="P198" s="72" t="b">
        <f t="shared" si="21"/>
        <v>1</v>
      </c>
      <c r="Q198" s="72" t="b">
        <f t="shared" si="22"/>
        <v>0</v>
      </c>
      <c r="R198" s="72" t="str">
        <f t="shared" si="23"/>
        <v>2.2.T2</v>
      </c>
      <c r="X198" s="60" t="s">
        <v>238</v>
      </c>
      <c r="Z198" s="63">
        <v>1</v>
      </c>
      <c r="AA198" s="63">
        <f>IF(AB198="完了",1,0)</f>
        <v>0</v>
      </c>
      <c r="AB198" s="63" t="s">
        <v>239</v>
      </c>
      <c r="AC198" s="63">
        <f>AM198/IF(AL198+AM198=0,1,AL198+AM198)</f>
        <v>0</v>
      </c>
      <c r="AD198" s="71"/>
      <c r="AE198" s="63">
        <v>1</v>
      </c>
      <c r="AF198" s="63" t="s">
        <v>234</v>
      </c>
      <c r="AG198" s="63" t="s">
        <v>234</v>
      </c>
      <c r="AH198" s="73"/>
      <c r="AI198" s="63"/>
      <c r="AJ198" s="63"/>
      <c r="AK198" s="63"/>
      <c r="AL198" s="63"/>
      <c r="AM198" s="63"/>
      <c r="AN198" s="63"/>
      <c r="AO198" s="63"/>
      <c r="AP198" s="63" t="s">
        <v>234</v>
      </c>
      <c r="AQ198" s="63" t="s">
        <v>234</v>
      </c>
    </row>
    <row r="199" spans="2:43" ht="18" customHeight="1">
      <c r="B199" s="63"/>
      <c r="C199" s="63" t="s">
        <v>257</v>
      </c>
      <c r="D199" s="63" t="s">
        <v>257</v>
      </c>
      <c r="E199" s="63">
        <v>2</v>
      </c>
      <c r="F199" s="63">
        <v>2</v>
      </c>
      <c r="G199" s="63"/>
      <c r="H199" s="63"/>
      <c r="I199" s="63"/>
      <c r="J199" s="63">
        <v>3</v>
      </c>
      <c r="K199" s="72" t="str">
        <f t="shared" si="16"/>
        <v>002.002.---.---.---.003</v>
      </c>
      <c r="L199" s="72">
        <f t="shared" si="17"/>
        <v>1</v>
      </c>
      <c r="M199" s="72">
        <f t="shared" si="18"/>
        <v>2</v>
      </c>
      <c r="N199" s="72" t="b">
        <f t="shared" si="19"/>
        <v>1</v>
      </c>
      <c r="O199" s="72" t="b">
        <f t="shared" si="20"/>
        <v>1</v>
      </c>
      <c r="P199" s="72" t="b">
        <f t="shared" si="21"/>
        <v>1</v>
      </c>
      <c r="Q199" s="72" t="b">
        <f t="shared" si="22"/>
        <v>0</v>
      </c>
      <c r="R199" s="72" t="str">
        <f t="shared" si="23"/>
        <v>2.2.T3</v>
      </c>
      <c r="X199" s="60" t="s">
        <v>240</v>
      </c>
      <c r="Z199" s="63">
        <v>1</v>
      </c>
      <c r="AA199" s="63">
        <f>IF(AB199="完了",1,0)</f>
        <v>0</v>
      </c>
      <c r="AB199" s="63" t="s">
        <v>234</v>
      </c>
      <c r="AC199" s="63">
        <f>AM199/IF(AL199+AM199=0,1,AL199+AM199)</f>
        <v>0</v>
      </c>
      <c r="AD199" s="71"/>
      <c r="AE199" s="63">
        <v>1</v>
      </c>
      <c r="AF199" s="63" t="s">
        <v>234</v>
      </c>
      <c r="AG199" s="63" t="s">
        <v>234</v>
      </c>
      <c r="AH199" s="73"/>
      <c r="AI199" s="63"/>
      <c r="AJ199" s="63"/>
      <c r="AK199" s="63"/>
      <c r="AL199" s="63"/>
      <c r="AM199" s="63"/>
      <c r="AN199" s="63"/>
      <c r="AO199" s="63"/>
      <c r="AP199" s="63" t="s">
        <v>234</v>
      </c>
      <c r="AQ199" s="63" t="s">
        <v>234</v>
      </c>
    </row>
    <row r="200" spans="2:43" ht="18" customHeight="1">
      <c r="B200" s="63"/>
      <c r="C200" s="63" t="s">
        <v>257</v>
      </c>
      <c r="D200" s="63" t="s">
        <v>257</v>
      </c>
      <c r="E200" s="63">
        <v>2</v>
      </c>
      <c r="F200" s="63">
        <v>2</v>
      </c>
      <c r="G200" s="63">
        <v>1</v>
      </c>
      <c r="H200" s="63"/>
      <c r="I200" s="63"/>
      <c r="J200" s="63"/>
      <c r="K200" s="72" t="str">
        <f t="shared" ref="K200:K263" si="24">IF(B200="E","ERROR",IF(E200="","XXX.XXX.XXX.XXX.XXX.XXX", _xlfn.CONCAT(TEXT(E200,"000"),IF(F200="",".---", "." &amp; TEXT(F200,"000")),IF(G200="",".---", "." &amp; TEXT(G200,"000")),IF(H200="",".---", "." &amp; TEXT(H200,"000")),IF(I200="",".---", "." &amp; TEXT(I200,"000")),IF(J200="",".---", "." &amp; TEXT(J200,"000")))))</f>
        <v>002.002.001.---.---.---</v>
      </c>
      <c r="L200" s="72">
        <f t="shared" ref="L200:L263" si="25">COUNTIF(K$8:K$218,K200)</f>
        <v>1</v>
      </c>
      <c r="M200" s="72">
        <f t="shared" ref="M200:M218" si="26">IF(AND(ISNUMBER(E200),F200="",G200="",H200="",I200=""),1,IF(AND(ISNUMBER(E200),ISNUMBER(F200),G200="",H200="",I200=""),2,IF(AND(ISNUMBER(E200),ISNUMBER(F200),ISNUMBER(G200),H200="",I200=""),3,IF(AND(ISNUMBER(E200),ISNUMBER(F200),ISNUMBER(G200),ISNUMBER(H200),I200=""),4,IF(AND(ISNUMBER(E200),ISNUMBER(F200),ISNUMBER(G200),ISNUMBER(H200),ISNUMBER(I200)),5,0)))))</f>
        <v>3</v>
      </c>
      <c r="N200" s="72" t="b">
        <f t="shared" ref="N200:N218" si="27">IF(AND(J200&lt;&gt;"",ISNUMBER(J200)),TRUE,FALSE)</f>
        <v>0</v>
      </c>
      <c r="O200" s="72" t="b">
        <f t="shared" ref="O200:O218" si="28">NOT(OR(AB200="削除",AB200="移管済",AB200="棚上げ",AB200="却下"))</f>
        <v>1</v>
      </c>
      <c r="P200" s="72" t="b">
        <f t="shared" ref="P200:P218" si="29">AND(M200&gt;0,R200&lt;&gt;"",IFERROR(ISNUMBER(MATCH(IFERROR(LEFT(R200,FIND("~",SUBSTITUTE(R200,".","~",LEN(R200)-LEN(SUBSTITUTE(R200,".",""))))-1),R200),R$8:R$218,0)),FALSE))</f>
        <v>1</v>
      </c>
      <c r="Q200" s="72" t="b">
        <f t="shared" ref="Q200:Q263" si="30">AND(M200&gt;0,N200=FALSE,R200&lt;&gt;"",IFERROR(SUMPRODUCT(--(LEFT(R$8:R$218,LEN(R200&amp;"."))=R200&amp;"."))&gt;0,FALSE))</f>
        <v>1</v>
      </c>
      <c r="R200" s="72" t="str">
        <f t="shared" ref="R200:R218" si="31">IF(B200="E","ERROR",IF(E200="","",_xlfn.CONCAT(E200,IF(F200="","","."&amp;F200 ), IF(G200="","","."&amp;G200 ), IF(H200="","","."&amp;H200 ), IF(I200="","","."&amp;I200 ), IF(J200="","",".T"&amp;J200 ))))</f>
        <v>2.2.1</v>
      </c>
      <c r="U200" s="60" t="s">
        <v>241</v>
      </c>
      <c r="Z200" s="63">
        <f>SUM(_xlfn._xlws.FILTER(Z8:Z218,(E8:E218=E200)*(F8:F218=F200)*(G8:G218=G200)*(ISNUMBER(H8:H218))*(I8:I218="")*(N8:N218=FALSE)*(O8:O218=TRUE),0))+SUM(_xlfn._xlws.FILTER(Z8:Z218,(E8:E218=E200)*(F8:F218=F200)*(G8:G218=G200)*(H8:H218="")*(I8:I218="")*(N8:N218=TRUE)*(O8:O218=TRUE),0))</f>
        <v>12</v>
      </c>
      <c r="AA200" s="63">
        <f>SUM(_xlfn._xlws.FILTER(AA8:AA218,(E8:E218=E200)*(F8:F218=F200)*(G8:G218=G200)*(ISNUMBER(H8:H218))*(I8:I218="")*(N8:N218=FALSE)*(O8:O218=TRUE),0))+SUM(_xlfn._xlws.FILTER(AA8:AA218,(E8:E218=E200)*(F8:F218=F200)*(G8:G218=G200)*(H8:H218="")*(I8:I218="")*(N8:N218=TRUE)*(O8:O218=TRUE),0))</f>
        <v>2</v>
      </c>
      <c r="AB200" s="63" t="s">
        <v>234</v>
      </c>
      <c r="AC200" s="63">
        <f>(SUM(_xlfn._xlws.FILTER(AC8:AC218,(E8:E218=E200)*(F8:F218=F200)*(G8:G218=G200)*(ISNUMBER(H8:H218))*(I8:I218="")*(N8:N218=FALSE)*(O8:O218=TRUE),0))+SUM(_xlfn._xlws.FILTER(AC8:AC218,(E8:E218=E200)*(F8:F218=F200)*(G8:G218=G200)*(H8:H218="")*(I8:I218="")*(N8:N218=TRUE)*(O8:O218=TRUE),0)))/IF(IFERROR(COUNT(_xlfn._xlws.FILTER(AC8:AC218,(E8:E218=E200)*(F8:F218=F200)*(G8:G218=G200)*(ISNUMBER(H8:H218))*(I8:I218="")*(N8:N218=FALSE)*(O8:O218=TRUE))),0)+IFERROR(COUNT(_xlfn._xlws.FILTER(AC8:AC218,(E8:E218=E200)*(F8:F218=F200)*(G8:G218=G200)*(H8:H218="")*(I8:I218="")*(N8:N218=TRUE)*(O8:O218=TRUE))),0)=0,1,IFERROR(COUNT(_xlfn._xlws.FILTER(AC8:AC218,(E8:E218=E200)*(F8:F218=F200)*(G8:G218=G200)*(ISNUMBER(H8:H218))*(I8:I218="")*(N8:N218=FALSE)*(O8:O218=TRUE))),0)+IFERROR(COUNT(_xlfn._xlws.FILTER(AC8:AC218,(E8:E218=E200)*(F8:F218=F200)*(G8:G218=G200)*(H8:H218="")*(I8:I218="")*(N8:N218=TRUE)*(O8:O218=TRUE))),0))</f>
        <v>0</v>
      </c>
      <c r="AD200" s="71">
        <f>(SUM(_xlfn._xlws.FILTER(AD8:AD218*(AE8:AE218),(E8:E218=E200)*(F8:F218=F200)*(G8:G218=G200)*(ISNUMBER(H8:H218))*(I8:I218="")*(N8:N218=FALSE)*(O8:O218=TRUE),0))+SUM(_xlfn._xlws.FILTER(AD8:AD218*(AE8:AE218),(E8:E218=E200)*(F8:F218=F200)*(G8:G218=G200)*(H8:H218="")*(I8:I218="")*(N8:N218=TRUE)*(O8:O218=TRUE),0)))/IF(SUM(_xlfn._xlws.FILTER(AE8:AE218,(E8:E218=E200)*(F8:F218=F200)*(G8:G218=G200)*(ISNUMBER(H8:H218))*(I8:I218="")*(N8:N218=FALSE)*(O8:O218=TRUE),0))+SUM(_xlfn._xlws.FILTER(AE8:AE218,(E8:E218=E200)*(F8:F218=F200)*(G8:G218=G200)*(H8:H218="")*(I8:I218="")*(N8:N218=TRUE)*(O8:O218=TRUE),0))=0,1,SUM(_xlfn._xlws.FILTER(AE8:AE218,(E8:E218=E200)*(F8:F218=F200)*(G8:G218=G200)*(ISNUMBER(H8:H218))*(I8:I218="")*(N8:N218=FALSE)*(O8:O218=TRUE),0))+SUM(_xlfn._xlws.FILTER(AE8:AE218,(E8:E218=E200)*(F8:F218=F200)*(G8:G218=G200)*(H8:H218="")*(I8:I218="")*(N8:N218=TRUE)*(O8:O218=TRUE),0)))</f>
        <v>0</v>
      </c>
      <c r="AE200" s="63">
        <v>1</v>
      </c>
      <c r="AF200" s="63" t="s">
        <v>234</v>
      </c>
      <c r="AG200" s="63" t="s">
        <v>234</v>
      </c>
      <c r="AH200" s="73"/>
      <c r="AI200" s="63">
        <f>SUM(_xlfn._xlws.FILTER(AI8:AI218,(E8:E218=E200)*(F8:F218=F200)*(G8:G218=G200)*(ISNUMBER(H8:H218))*(I8:I218="")*(N8:N218=FALSE)*(O8:O218=TRUE),0))+SUM(_xlfn._xlws.FILTER(AI8:AI218,(E8:E218=E200)*(F8:F218=F200)*(G8:G218=G200)*(H8:H218="")*(I8:I218="")*(N8:N218=TRUE)*(O8:O218=TRUE),0))</f>
        <v>0</v>
      </c>
      <c r="AJ200" s="63"/>
      <c r="AK200" s="63"/>
      <c r="AL200" s="63">
        <f>SUM(_xlfn._xlws.FILTER(AL8:AL218,(E8:E218=E200)*(F8:F218=F200)*(G8:G218=G200)*(ISNUMBER(H8:H218))*(I8:I218="")*(N8:N218=FALSE)*(O8:O218=TRUE),0))+SUM(_xlfn._xlws.FILTER(AL8:AL218,(E8:E218=E200)*(F8:F218=F200)*(G8:G218=G200)*(H8:H218="")*(I8:I218="")*(N8:N218=TRUE)*(O8:O218=TRUE),0))</f>
        <v>0</v>
      </c>
      <c r="AM200" s="63">
        <f>SUM(_xlfn._xlws.FILTER(AM8:AM218,(E8:E218=E200)*(F8:F218=F200)*(G8:G218=G200)*(ISNUMBER(H8:H218))*(I8:I218="")*(N8:N218=FALSE)*(O8:O218=TRUE),0))+SUM(_xlfn._xlws.FILTER(AM8:AM218,(E8:E218=E200)*(F8:F218=F200)*(G8:G218=G200)*(H8:H218="")*(I8:I218="")*(N8:N218=TRUE)*(O8:O218=TRUE),0))</f>
        <v>0</v>
      </c>
      <c r="AN200" s="63"/>
      <c r="AO200" s="63"/>
      <c r="AP200" s="63" t="s">
        <v>234</v>
      </c>
      <c r="AQ200" s="63" t="s">
        <v>234</v>
      </c>
    </row>
    <row r="201" spans="2:43" ht="18" customHeight="1">
      <c r="B201" s="63"/>
      <c r="C201" s="63" t="s">
        <v>257</v>
      </c>
      <c r="D201" s="63" t="s">
        <v>257</v>
      </c>
      <c r="E201" s="63">
        <v>2</v>
      </c>
      <c r="F201" s="63">
        <v>2</v>
      </c>
      <c r="G201" s="63">
        <v>1</v>
      </c>
      <c r="H201" s="63"/>
      <c r="I201" s="63"/>
      <c r="J201" s="63">
        <v>1</v>
      </c>
      <c r="K201" s="72" t="str">
        <f t="shared" si="24"/>
        <v>002.002.001.---.---.001</v>
      </c>
      <c r="L201" s="72">
        <f t="shared" si="25"/>
        <v>1</v>
      </c>
      <c r="M201" s="72">
        <f t="shared" si="26"/>
        <v>3</v>
      </c>
      <c r="N201" s="72" t="b">
        <f t="shared" si="27"/>
        <v>1</v>
      </c>
      <c r="O201" s="72" t="b">
        <f t="shared" si="28"/>
        <v>0</v>
      </c>
      <c r="P201" s="72" t="b">
        <f t="shared" si="29"/>
        <v>1</v>
      </c>
      <c r="Q201" s="72" t="b">
        <f t="shared" si="30"/>
        <v>0</v>
      </c>
      <c r="R201" s="72" t="str">
        <f t="shared" si="31"/>
        <v>2.2.1.T1</v>
      </c>
      <c r="X201" s="60" t="s">
        <v>242</v>
      </c>
      <c r="Z201" s="63">
        <v>1</v>
      </c>
      <c r="AA201" s="63">
        <f>IF(AB201="完了",1,0)</f>
        <v>0</v>
      </c>
      <c r="AB201" s="63" t="s">
        <v>243</v>
      </c>
      <c r="AC201" s="63">
        <f>AM201/IF(AL201+AM201=0,1,AL201+AM201)</f>
        <v>0</v>
      </c>
      <c r="AD201" s="71"/>
      <c r="AE201" s="63">
        <v>1</v>
      </c>
      <c r="AF201" s="63" t="s">
        <v>234</v>
      </c>
      <c r="AG201" s="63" t="s">
        <v>234</v>
      </c>
      <c r="AH201" s="73"/>
      <c r="AI201" s="63"/>
      <c r="AJ201" s="63"/>
      <c r="AK201" s="63"/>
      <c r="AL201" s="63"/>
      <c r="AM201" s="63"/>
      <c r="AN201" s="63"/>
      <c r="AO201" s="63"/>
      <c r="AP201" s="63" t="s">
        <v>234</v>
      </c>
      <c r="AQ201" s="63" t="s">
        <v>234</v>
      </c>
    </row>
    <row r="202" spans="2:43" ht="18" customHeight="1">
      <c r="B202" s="63"/>
      <c r="C202" s="63" t="s">
        <v>257</v>
      </c>
      <c r="D202" s="63" t="s">
        <v>257</v>
      </c>
      <c r="E202" s="63">
        <v>2</v>
      </c>
      <c r="F202" s="63">
        <v>2</v>
      </c>
      <c r="G202" s="63">
        <v>1</v>
      </c>
      <c r="H202" s="63"/>
      <c r="I202" s="63"/>
      <c r="J202" s="63">
        <v>2</v>
      </c>
      <c r="K202" s="72" t="str">
        <f t="shared" si="24"/>
        <v>002.002.001.---.---.002</v>
      </c>
      <c r="L202" s="72">
        <f t="shared" si="25"/>
        <v>1</v>
      </c>
      <c r="M202" s="72">
        <f t="shared" si="26"/>
        <v>3</v>
      </c>
      <c r="N202" s="72" t="b">
        <f t="shared" si="27"/>
        <v>1</v>
      </c>
      <c r="O202" s="72" t="b">
        <f t="shared" si="28"/>
        <v>1</v>
      </c>
      <c r="P202" s="72" t="b">
        <f t="shared" si="29"/>
        <v>1</v>
      </c>
      <c r="Q202" s="72" t="b">
        <f t="shared" si="30"/>
        <v>0</v>
      </c>
      <c r="R202" s="72" t="str">
        <f t="shared" si="31"/>
        <v>2.2.1.T2</v>
      </c>
      <c r="X202" s="60" t="s">
        <v>244</v>
      </c>
      <c r="Z202" s="63">
        <v>1</v>
      </c>
      <c r="AA202" s="63">
        <f>IF(AB202="完了",1,0)</f>
        <v>0</v>
      </c>
      <c r="AB202" s="63" t="s">
        <v>245</v>
      </c>
      <c r="AC202" s="63">
        <f>AM202/IF(AL202+AM202=0,1,AL202+AM202)</f>
        <v>0</v>
      </c>
      <c r="AD202" s="71"/>
      <c r="AE202" s="63">
        <v>1</v>
      </c>
      <c r="AF202" s="63" t="s">
        <v>234</v>
      </c>
      <c r="AG202" s="63" t="s">
        <v>234</v>
      </c>
      <c r="AH202" s="73"/>
      <c r="AI202" s="63"/>
      <c r="AJ202" s="63"/>
      <c r="AK202" s="63"/>
      <c r="AL202" s="63"/>
      <c r="AM202" s="63"/>
      <c r="AN202" s="63"/>
      <c r="AO202" s="63"/>
      <c r="AP202" s="63" t="s">
        <v>234</v>
      </c>
      <c r="AQ202" s="63" t="s">
        <v>234</v>
      </c>
    </row>
    <row r="203" spans="2:43" ht="18" customHeight="1">
      <c r="B203" s="63"/>
      <c r="C203" s="63" t="s">
        <v>257</v>
      </c>
      <c r="D203" s="63" t="s">
        <v>257</v>
      </c>
      <c r="E203" s="63">
        <v>2</v>
      </c>
      <c r="F203" s="63">
        <v>2</v>
      </c>
      <c r="G203" s="63">
        <v>1</v>
      </c>
      <c r="H203" s="63"/>
      <c r="I203" s="63"/>
      <c r="J203" s="63">
        <v>3</v>
      </c>
      <c r="K203" s="72" t="str">
        <f t="shared" si="24"/>
        <v>002.002.001.---.---.003</v>
      </c>
      <c r="L203" s="72">
        <f t="shared" si="25"/>
        <v>1</v>
      </c>
      <c r="M203" s="72">
        <f t="shared" si="26"/>
        <v>3</v>
      </c>
      <c r="N203" s="72" t="b">
        <f t="shared" si="27"/>
        <v>1</v>
      </c>
      <c r="O203" s="72" t="b">
        <f t="shared" si="28"/>
        <v>1</v>
      </c>
      <c r="P203" s="72" t="b">
        <f t="shared" si="29"/>
        <v>1</v>
      </c>
      <c r="Q203" s="72" t="b">
        <f t="shared" si="30"/>
        <v>0</v>
      </c>
      <c r="R203" s="72" t="str">
        <f t="shared" si="31"/>
        <v>2.2.1.T3</v>
      </c>
      <c r="X203" s="60" t="s">
        <v>246</v>
      </c>
      <c r="Z203" s="63">
        <v>1</v>
      </c>
      <c r="AA203" s="63">
        <f>IF(AB203="完了",1,0)</f>
        <v>0</v>
      </c>
      <c r="AB203" s="63" t="s">
        <v>234</v>
      </c>
      <c r="AC203" s="63">
        <f>AM203/IF(AL203+AM203=0,1,AL203+AM203)</f>
        <v>0</v>
      </c>
      <c r="AD203" s="71"/>
      <c r="AE203" s="63">
        <v>1</v>
      </c>
      <c r="AF203" s="63" t="s">
        <v>234</v>
      </c>
      <c r="AG203" s="63" t="s">
        <v>234</v>
      </c>
      <c r="AH203" s="73"/>
      <c r="AI203" s="63"/>
      <c r="AJ203" s="63"/>
      <c r="AK203" s="63"/>
      <c r="AL203" s="63"/>
      <c r="AM203" s="63"/>
      <c r="AN203" s="63"/>
      <c r="AO203" s="63"/>
      <c r="AP203" s="63" t="s">
        <v>234</v>
      </c>
      <c r="AQ203" s="63" t="s">
        <v>234</v>
      </c>
    </row>
    <row r="204" spans="2:43" ht="18" customHeight="1">
      <c r="B204" s="63"/>
      <c r="C204" s="63" t="s">
        <v>257</v>
      </c>
      <c r="D204" s="63" t="s">
        <v>257</v>
      </c>
      <c r="E204" s="63">
        <v>2</v>
      </c>
      <c r="F204" s="63">
        <v>2</v>
      </c>
      <c r="G204" s="63">
        <v>1</v>
      </c>
      <c r="H204" s="63">
        <v>1</v>
      </c>
      <c r="I204" s="63"/>
      <c r="J204" s="63"/>
      <c r="K204" s="72" t="str">
        <f t="shared" si="24"/>
        <v>002.002.001.001.---.---</v>
      </c>
      <c r="L204" s="72">
        <f t="shared" si="25"/>
        <v>1</v>
      </c>
      <c r="M204" s="72">
        <f t="shared" si="26"/>
        <v>4</v>
      </c>
      <c r="N204" s="72" t="b">
        <f t="shared" si="27"/>
        <v>0</v>
      </c>
      <c r="O204" s="72" t="b">
        <f t="shared" si="28"/>
        <v>1</v>
      </c>
      <c r="P204" s="72" t="b">
        <f t="shared" si="29"/>
        <v>1</v>
      </c>
      <c r="Q204" s="72" t="b">
        <f t="shared" si="30"/>
        <v>1</v>
      </c>
      <c r="R204" s="72" t="str">
        <f t="shared" si="31"/>
        <v>2.2.1.1</v>
      </c>
      <c r="V204" s="60" t="s">
        <v>247</v>
      </c>
      <c r="Z204" s="63">
        <f>SUM(_xlfn._xlws.FILTER(Z8:Z218,(E8:E218=E204)*(F8:F218=F204)*(G8:G218=G204)*(H8:H218=H204)*(ISNUMBER(I8:I218))*(N8:N218=FALSE)*(O8:O218=TRUE),0))+SUM(_xlfn._xlws.FILTER(Z8:Z218,(E8:E218=E204)*(F8:F218=F204)*(G8:G218=G204)*(H8:H218=H204)*(I8:I218="")*(N8:N218=TRUE)*(O8:O218=TRUE),0))</f>
        <v>9</v>
      </c>
      <c r="AA204" s="63">
        <f>SUM(_xlfn._xlws.FILTER(AA8:AA218,(E8:E218=E204)*(F8:F218=F204)*(G8:G218=G204)*(H8:H218=H204)*(ISNUMBER(I8:I218))*(N8:N218=FALSE)*(O8:O218=TRUE),0))+SUM(_xlfn._xlws.FILTER(AA8:AA218,(E8:E218=E204)*(F8:F218=F204)*(G8:G218=G204)*(H8:H218=H204)*(I8:I218="")*(N8:N218=TRUE)*(O8:O218=TRUE),0))</f>
        <v>1</v>
      </c>
      <c r="AB204" s="63" t="s">
        <v>234</v>
      </c>
      <c r="AC204" s="63">
        <f>(SUM(_xlfn._xlws.FILTER(AC8:AC218,(E8:E218=E204)*(F8:F218=F204)*(G8:G218=G204)*(H8:H218=H204)*(ISNUMBER(I8:I218))*(N8:N218=FALSE)*(O8:O218=TRUE),0))+SUM(_xlfn._xlws.FILTER(AC8:AC218,(E8:E218=E204)*(F8:F218=F204)*(G8:G218=G204)*(H8:H218=H204)*(I8:I218="")*(N8:N218=TRUE)*(O8:O218=TRUE),0)))/IF(IFERROR(COUNT(_xlfn._xlws.FILTER(AC8:AC218,(E8:E218=E204)*(F8:F218=F204)*(G8:G218=G204)*(H8:H218=H204)*(ISNUMBER(I8:I218))*(N8:N218=FALSE)*(O8:O218=TRUE))),0)+IFERROR(COUNT(_xlfn._xlws.FILTER(AC8:AC218,(E8:E218=E204)*(F8:F218=F204)*(G8:G218=G204)*(H8:H218=H204)*(I8:I218="")*(N8:N218=TRUE)*(O8:O218=TRUE))),0)=0,1,IFERROR(COUNT(_xlfn._xlws.FILTER(AC8:AC218,(E8:E218=E204)*(F8:F218=F204)*(G8:G218=G204)*(H8:H218=H204)*(ISNUMBER(I8:I218))*(N8:N218=FALSE)*(O8:O218=TRUE))),0)+IFERROR(COUNT(_xlfn._xlws.FILTER(AC8:AC218,(E8:E218=E204)*(F8:F218=F204)*(G8:G218=G204)*(H8:H218=H204)*(I8:I218="")*(N8:N218=TRUE)*(O8:O218=TRUE))),0))</f>
        <v>0</v>
      </c>
      <c r="AD204" s="71">
        <f>(SUM(_xlfn._xlws.FILTER(AD8:AD218*(AE8:AE218),(E8:E218=E204)*(F8:F218=F204)*(G8:G218=G204)*(H8:H218=H204)*(ISNUMBER(I8:I218))*(N8:N218=FALSE)*(O8:O218=TRUE),0))+SUM(_xlfn._xlws.FILTER(AD8:AD218*(AE8:AE218),(E8:E218=E204)*(F8:F218=F204)*(G8:G218=G204)*(H8:H218=H204)*(I8:I218="")*(N8:N218=TRUE)*(O8:O218=TRUE),0)))/IF(SUM(_xlfn._xlws.FILTER(AE8:AE218,(E8:E218=E204)*(F8:F218=F204)*(G8:G218=G204)*(H8:H218=H204)*(ISNUMBER(I8:I218))*(N8:N218=FALSE)*(O8:O218=TRUE),0))+SUM(_xlfn._xlws.FILTER(AE8:AE218,(E8:E218=E204)*(F8:F218=F204)*(G8:G218=G204)*(H8:H218=H204)*(I8:I218="")*(N8:N218=TRUE)*(O8:O218=TRUE),0))=0,1,SUM(_xlfn._xlws.FILTER(AE8:AE218,(E8:E218=E204)*(F8:F218=F204)*(G8:G218=G204)*(H8:H218=H204)*(ISNUMBER(I8:I218))*(N8:N218=FALSE)*(O8:O218=TRUE),0))+SUM(_xlfn._xlws.FILTER(AE8:AE218,(E8:E218=E204)*(F8:F218=F204)*(G8:G218=G204)*(H8:H218=H204)*(I8:I218="")*(N8:N218=TRUE)*(O8:O218=TRUE),0)))</f>
        <v>0</v>
      </c>
      <c r="AE204" s="63">
        <v>1</v>
      </c>
      <c r="AF204" s="63" t="s">
        <v>234</v>
      </c>
      <c r="AG204" s="63" t="s">
        <v>234</v>
      </c>
      <c r="AH204" s="73"/>
      <c r="AI204" s="63">
        <f>SUM(_xlfn._xlws.FILTER(AI8:AI218,(E8:E218=E204)*(F8:F218=F204)*(G8:G218=G204)*(H8:H218=H204)*(ISNUMBER(I8:I218))*(N8:N218=FALSE)*(O8:O218=TRUE),0))+SUM(_xlfn._xlws.FILTER(AI8:AI218,(E8:E218=E204)*(F8:F218=F204)*(G8:G218=G204)*(H8:H218=H204)*(I8:I218="")*(N8:N218=TRUE)*(O8:O218=TRUE),0))</f>
        <v>0</v>
      </c>
      <c r="AJ204" s="63"/>
      <c r="AK204" s="63"/>
      <c r="AL204" s="63">
        <f>SUM(_xlfn._xlws.FILTER(AL8:AL218,(E8:E218=E204)*(F8:F218=F204)*(G8:G218=G204)*(H8:H218=H204)*(ISNUMBER(I8:I218))*(N8:N218=FALSE)*(O8:O218=TRUE),0))+SUM(_xlfn._xlws.FILTER(AL8:AL218,(E8:E218=E204)*(F8:F218=F204)*(G8:G218=G204)*(H8:H218=H204)*(I8:I218="")*(N8:N218=TRUE)*(O8:O218=TRUE),0))</f>
        <v>0</v>
      </c>
      <c r="AM204" s="63">
        <f>SUM(_xlfn._xlws.FILTER(AM8:AM218,(E8:E218=E204)*(F8:F218=F204)*(G8:G218=G204)*(H8:H218=H204)*(ISNUMBER(I8:I218))*(N8:N218=FALSE)*(O8:O218=TRUE),0))+SUM(_xlfn._xlws.FILTER(AM8:AM218,(E8:E218=E204)*(F8:F218=F204)*(G8:G218=G204)*(H8:H218=H204)*(I8:I218="")*(N8:N218=TRUE)*(O8:O218=TRUE),0))</f>
        <v>0</v>
      </c>
      <c r="AN204" s="63"/>
      <c r="AO204" s="63"/>
      <c r="AP204" s="63" t="s">
        <v>234</v>
      </c>
      <c r="AQ204" s="63" t="s">
        <v>234</v>
      </c>
    </row>
    <row r="205" spans="2:43" ht="18" customHeight="1">
      <c r="B205" s="63"/>
      <c r="C205" s="63" t="s">
        <v>257</v>
      </c>
      <c r="D205" s="63" t="s">
        <v>257</v>
      </c>
      <c r="E205" s="63">
        <v>2</v>
      </c>
      <c r="F205" s="63">
        <v>2</v>
      </c>
      <c r="G205" s="63">
        <v>1</v>
      </c>
      <c r="H205" s="63">
        <v>1</v>
      </c>
      <c r="I205" s="63"/>
      <c r="J205" s="63">
        <v>1</v>
      </c>
      <c r="K205" s="72" t="str">
        <f t="shared" si="24"/>
        <v>002.002.001.001.---.001</v>
      </c>
      <c r="L205" s="72">
        <f t="shared" si="25"/>
        <v>1</v>
      </c>
      <c r="M205" s="72">
        <f t="shared" si="26"/>
        <v>4</v>
      </c>
      <c r="N205" s="72" t="b">
        <f t="shared" si="27"/>
        <v>1</v>
      </c>
      <c r="O205" s="72" t="b">
        <f t="shared" si="28"/>
        <v>1</v>
      </c>
      <c r="P205" s="72" t="b">
        <f t="shared" si="29"/>
        <v>1</v>
      </c>
      <c r="Q205" s="72" t="b">
        <f t="shared" si="30"/>
        <v>0</v>
      </c>
      <c r="R205" s="72" t="str">
        <f t="shared" si="31"/>
        <v>2.2.1.1.T1</v>
      </c>
      <c r="X205" s="60" t="s">
        <v>248</v>
      </c>
      <c r="Z205" s="63">
        <v>1</v>
      </c>
      <c r="AA205" s="63">
        <f>IF(AB205="完了",1,0)</f>
        <v>1</v>
      </c>
      <c r="AB205" s="63" t="s">
        <v>204</v>
      </c>
      <c r="AC205" s="63">
        <f>AM205/IF(AL205+AM205=0,1,AL205+AM205)</f>
        <v>0</v>
      </c>
      <c r="AD205" s="71"/>
      <c r="AE205" s="63">
        <v>1</v>
      </c>
      <c r="AF205" s="63" t="s">
        <v>234</v>
      </c>
      <c r="AG205" s="63" t="s">
        <v>234</v>
      </c>
      <c r="AH205" s="73"/>
      <c r="AI205" s="63"/>
      <c r="AJ205" s="63"/>
      <c r="AK205" s="63"/>
      <c r="AL205" s="63"/>
      <c r="AM205" s="63"/>
      <c r="AN205" s="63"/>
      <c r="AO205" s="63"/>
      <c r="AP205" s="63" t="s">
        <v>234</v>
      </c>
      <c r="AQ205" s="63" t="s">
        <v>234</v>
      </c>
    </row>
    <row r="206" spans="2:43" ht="18" customHeight="1">
      <c r="B206" s="63"/>
      <c r="C206" s="63" t="s">
        <v>257</v>
      </c>
      <c r="D206" s="63" t="s">
        <v>257</v>
      </c>
      <c r="E206" s="63">
        <v>2</v>
      </c>
      <c r="F206" s="63">
        <v>2</v>
      </c>
      <c r="G206" s="63">
        <v>1</v>
      </c>
      <c r="H206" s="63">
        <v>1</v>
      </c>
      <c r="I206" s="63"/>
      <c r="J206" s="63">
        <v>2</v>
      </c>
      <c r="K206" s="72" t="str">
        <f t="shared" si="24"/>
        <v>002.002.001.001.---.002</v>
      </c>
      <c r="L206" s="72">
        <f t="shared" si="25"/>
        <v>1</v>
      </c>
      <c r="M206" s="72">
        <f t="shared" si="26"/>
        <v>4</v>
      </c>
      <c r="N206" s="72" t="b">
        <f t="shared" si="27"/>
        <v>1</v>
      </c>
      <c r="O206" s="72" t="b">
        <f t="shared" si="28"/>
        <v>1</v>
      </c>
      <c r="P206" s="72" t="b">
        <f t="shared" si="29"/>
        <v>1</v>
      </c>
      <c r="Q206" s="72" t="b">
        <f t="shared" si="30"/>
        <v>0</v>
      </c>
      <c r="R206" s="72" t="str">
        <f t="shared" si="31"/>
        <v>2.2.1.1.T2</v>
      </c>
      <c r="X206" s="60" t="s">
        <v>249</v>
      </c>
      <c r="Z206" s="63">
        <v>1</v>
      </c>
      <c r="AA206" s="63">
        <f>IF(AB206="完了",1,0)</f>
        <v>0</v>
      </c>
      <c r="AB206" s="63" t="s">
        <v>250</v>
      </c>
      <c r="AC206" s="63">
        <f>AM206/IF(AL206+AM206=0,1,AL206+AM206)</f>
        <v>0</v>
      </c>
      <c r="AD206" s="71"/>
      <c r="AE206" s="63">
        <v>1</v>
      </c>
      <c r="AF206" s="63" t="s">
        <v>234</v>
      </c>
      <c r="AG206" s="63" t="s">
        <v>234</v>
      </c>
      <c r="AH206" s="73"/>
      <c r="AI206" s="63"/>
      <c r="AJ206" s="63"/>
      <c r="AK206" s="63"/>
      <c r="AL206" s="63"/>
      <c r="AM206" s="63"/>
      <c r="AN206" s="63"/>
      <c r="AO206" s="63"/>
      <c r="AP206" s="63" t="s">
        <v>234</v>
      </c>
      <c r="AQ206" s="63" t="s">
        <v>234</v>
      </c>
    </row>
    <row r="207" spans="2:43" ht="18" customHeight="1">
      <c r="B207" s="63"/>
      <c r="C207" s="63" t="s">
        <v>257</v>
      </c>
      <c r="D207" s="63" t="s">
        <v>257</v>
      </c>
      <c r="E207" s="63">
        <v>2</v>
      </c>
      <c r="F207" s="63">
        <v>2</v>
      </c>
      <c r="G207" s="63">
        <v>1</v>
      </c>
      <c r="H207" s="63">
        <v>1</v>
      </c>
      <c r="I207" s="63"/>
      <c r="J207" s="63">
        <v>3</v>
      </c>
      <c r="K207" s="72" t="str">
        <f t="shared" si="24"/>
        <v>002.002.001.001.---.003</v>
      </c>
      <c r="L207" s="72">
        <f t="shared" si="25"/>
        <v>1</v>
      </c>
      <c r="M207" s="72">
        <f t="shared" si="26"/>
        <v>4</v>
      </c>
      <c r="N207" s="72" t="b">
        <f t="shared" si="27"/>
        <v>1</v>
      </c>
      <c r="O207" s="72" t="b">
        <f t="shared" si="28"/>
        <v>1</v>
      </c>
      <c r="P207" s="72" t="b">
        <f t="shared" si="29"/>
        <v>1</v>
      </c>
      <c r="Q207" s="72" t="b">
        <f t="shared" si="30"/>
        <v>0</v>
      </c>
      <c r="R207" s="72" t="str">
        <f t="shared" si="31"/>
        <v>2.2.1.1.T3</v>
      </c>
      <c r="X207" s="60" t="s">
        <v>251</v>
      </c>
      <c r="Z207" s="63">
        <v>1</v>
      </c>
      <c r="AA207" s="63">
        <f>IF(AB207="完了",1,0)</f>
        <v>0</v>
      </c>
      <c r="AB207" s="63" t="s">
        <v>234</v>
      </c>
      <c r="AC207" s="63">
        <f>AM207/IF(AL207+AM207=0,1,AL207+AM207)</f>
        <v>0</v>
      </c>
      <c r="AD207" s="71"/>
      <c r="AE207" s="63">
        <v>1</v>
      </c>
      <c r="AF207" s="63" t="s">
        <v>234</v>
      </c>
      <c r="AG207" s="63" t="s">
        <v>234</v>
      </c>
      <c r="AH207" s="73"/>
      <c r="AI207" s="63"/>
      <c r="AJ207" s="63"/>
      <c r="AK207" s="63"/>
      <c r="AL207" s="63"/>
      <c r="AM207" s="63"/>
      <c r="AN207" s="63"/>
      <c r="AO207" s="63"/>
      <c r="AP207" s="63" t="s">
        <v>234</v>
      </c>
      <c r="AQ207" s="63" t="s">
        <v>234</v>
      </c>
    </row>
    <row r="208" spans="2:43" ht="18" customHeight="1">
      <c r="B208" s="63"/>
      <c r="C208" s="63" t="s">
        <v>257</v>
      </c>
      <c r="D208" s="63" t="s">
        <v>257</v>
      </c>
      <c r="E208" s="63">
        <v>2</v>
      </c>
      <c r="F208" s="63">
        <v>2</v>
      </c>
      <c r="G208" s="63">
        <v>1</v>
      </c>
      <c r="H208" s="63">
        <v>1</v>
      </c>
      <c r="I208" s="63">
        <v>1</v>
      </c>
      <c r="J208" s="63"/>
      <c r="K208" s="72" t="str">
        <f t="shared" si="24"/>
        <v>002.002.001.001.001.---</v>
      </c>
      <c r="L208" s="72">
        <f t="shared" si="25"/>
        <v>1</v>
      </c>
      <c r="M208" s="72">
        <f t="shared" si="26"/>
        <v>5</v>
      </c>
      <c r="N208" s="72" t="b">
        <f t="shared" si="27"/>
        <v>0</v>
      </c>
      <c r="O208" s="72" t="b">
        <f t="shared" si="28"/>
        <v>1</v>
      </c>
      <c r="P208" s="72" t="b">
        <f t="shared" si="29"/>
        <v>1</v>
      </c>
      <c r="Q208" s="72" t="b">
        <f t="shared" si="30"/>
        <v>1</v>
      </c>
      <c r="R208" s="72" t="str">
        <f t="shared" si="31"/>
        <v>2.2.1.1.1</v>
      </c>
      <c r="W208" s="60" t="s">
        <v>252</v>
      </c>
      <c r="Z208" s="63">
        <f>SUM(_xlfn._xlws.FILTER(Z8:Z218,(E8:E218=E208)*(F8:F218=F208)*(G8:G218=G208)*(H8:H218=H208)*(I8:I218=I208)*(N8:N218=TRUE)*(O8:O218=TRUE),0))</f>
        <v>3</v>
      </c>
      <c r="AA208" s="63">
        <f>SUM(_xlfn._xlws.FILTER(AA8:AA218,(E8:E218=E208)*(F8:F218=F208)*(G8:G218=G208)*(H8:H218=H208)*(I8:I218=I208)*(N8:N218=TRUE)*(O8:O218=TRUE),0))</f>
        <v>0</v>
      </c>
      <c r="AB208" s="63" t="s">
        <v>234</v>
      </c>
      <c r="AC208" s="63">
        <f>SUM(_xlfn._xlws.FILTER(AC8:AC218,(E8:E218=E208)*(F8:F218=F208)*(G8:G218=G208)*(H8:H218=H208)*(I8:I218=I208)*(N8:N218=TRUE)*(O8:O218=TRUE),0))/IF(IFERROR(COUNT(_xlfn._xlws.FILTER(AC8:AC218,(E8:E218=E208)*(F8:F218=F208)*(G8:G218=G208)*(H8:H218=H208)*(I8:I218=I208)*(N8:N218=TRUE)*(O8:O218=TRUE))),0)=0,1,IFERROR(COUNT(_xlfn._xlws.FILTER(AC8:AC218,(E8:E218=E208)*(F8:F218=F208)*(G8:G218=G208)*(H8:H218=H208)*(I8:I218=I208)*(N8:N218=TRUE)*(O8:O218=TRUE))),0))</f>
        <v>0</v>
      </c>
      <c r="AD208" s="71">
        <f>SUM(_xlfn._xlws.FILTER(AD8:AD218*(AE8:AE218),(E8:E218=E208)*(F8:F218=F208)*(G8:G218=G208)*(H8:H218=H208)*(I8:I218=I208)*(N8:N218=TRUE)*(O8:O218=TRUE),0))/IF(SUM(_xlfn._xlws.FILTER(AE8:AE218,(E8:E218=E208)*(F8:F218=F208)*(G8:G218=G208)*(H8:H218=H208)*(I8:I218=I208)*(N8:N218=TRUE)*(O8:O218=TRUE),0))=0,1,SUM(_xlfn._xlws.FILTER(AE8:AE218,(E8:E218=E208)*(F8:F218=F208)*(G8:G218=G208)*(H8:H218=H208)*(I8:I218=I208)*(N8:N218=TRUE)*(O8:O218=TRUE),0)))</f>
        <v>0</v>
      </c>
      <c r="AE208" s="63">
        <v>1</v>
      </c>
      <c r="AF208" s="63" t="s">
        <v>234</v>
      </c>
      <c r="AG208" s="63" t="s">
        <v>234</v>
      </c>
      <c r="AH208" s="73"/>
      <c r="AI208" s="63">
        <f>SUM(_xlfn._xlws.FILTER(AI8:AI218,(E8:E218=E208)*(F8:F218=F208)*(G8:G218=G208)*(H8:H218=H208)*(I8:I218=I208)*(N8:N218=TRUE)*(O8:O218=TRUE),0))</f>
        <v>0</v>
      </c>
      <c r="AJ208" s="63"/>
      <c r="AK208" s="63"/>
      <c r="AL208" s="63">
        <f>SUM(_xlfn._xlws.FILTER(AL8:AL218,(E8:E218=E208)*(F8:F218=F208)*(G8:G218=G208)*(H8:H218=H208)*(I8:I218=I208)*(N8:N218=TRUE)*(O8:O218=TRUE),0))</f>
        <v>0</v>
      </c>
      <c r="AM208" s="63">
        <f>SUM(_xlfn._xlws.FILTER(AM8:AM218,(E8:E218=E208)*(F8:F218=F208)*(G8:G218=G208)*(H8:H218=H208)*(I8:I218=I208)*(N8:N218=TRUE)*(O8:O218=TRUE),0))</f>
        <v>0</v>
      </c>
      <c r="AN208" s="63"/>
      <c r="AO208" s="63"/>
      <c r="AP208" s="63" t="s">
        <v>234</v>
      </c>
      <c r="AQ208" s="63" t="s">
        <v>234</v>
      </c>
    </row>
    <row r="209" spans="1:44" ht="18" customHeight="1">
      <c r="B209" s="63"/>
      <c r="C209" s="63" t="s">
        <v>257</v>
      </c>
      <c r="D209" s="63" t="s">
        <v>257</v>
      </c>
      <c r="E209" s="63">
        <v>2</v>
      </c>
      <c r="F209" s="63">
        <v>2</v>
      </c>
      <c r="G209" s="63">
        <v>1</v>
      </c>
      <c r="H209" s="63">
        <v>1</v>
      </c>
      <c r="I209" s="63">
        <v>1</v>
      </c>
      <c r="J209" s="63">
        <v>1</v>
      </c>
      <c r="K209" s="72" t="str">
        <f t="shared" si="24"/>
        <v>002.002.001.001.001.001</v>
      </c>
      <c r="L209" s="72">
        <f t="shared" si="25"/>
        <v>1</v>
      </c>
      <c r="M209" s="72">
        <f t="shared" si="26"/>
        <v>5</v>
      </c>
      <c r="N209" s="72" t="b">
        <f t="shared" si="27"/>
        <v>1</v>
      </c>
      <c r="O209" s="72" t="b">
        <f t="shared" si="28"/>
        <v>1</v>
      </c>
      <c r="P209" s="72" t="b">
        <f t="shared" si="29"/>
        <v>1</v>
      </c>
      <c r="Q209" s="72" t="b">
        <f t="shared" si="30"/>
        <v>0</v>
      </c>
      <c r="R209" s="72" t="str">
        <f t="shared" si="31"/>
        <v>2.2.1.1.1.T1</v>
      </c>
      <c r="X209" s="60" t="s">
        <v>253</v>
      </c>
      <c r="Z209" s="63">
        <v>1</v>
      </c>
      <c r="AA209" s="63">
        <f>IF(AB209="完了",1,0)</f>
        <v>0</v>
      </c>
      <c r="AB209" s="63" t="s">
        <v>234</v>
      </c>
      <c r="AC209" s="63">
        <f>AM209/IF(AL209+AM209=0,1,AL209+AM209)</f>
        <v>0</v>
      </c>
      <c r="AD209" s="71"/>
      <c r="AE209" s="63">
        <v>1</v>
      </c>
      <c r="AF209" s="63" t="s">
        <v>234</v>
      </c>
      <c r="AG209" s="63" t="s">
        <v>234</v>
      </c>
      <c r="AH209" s="73"/>
      <c r="AI209" s="63"/>
      <c r="AJ209" s="63"/>
      <c r="AK209" s="63"/>
      <c r="AL209" s="63"/>
      <c r="AM209" s="63"/>
      <c r="AN209" s="63"/>
      <c r="AO209" s="63"/>
      <c r="AP209" s="63" t="s">
        <v>234</v>
      </c>
      <c r="AQ209" s="63" t="s">
        <v>234</v>
      </c>
    </row>
    <row r="210" spans="1:44" ht="18" customHeight="1">
      <c r="B210" s="63"/>
      <c r="C210" s="63" t="s">
        <v>257</v>
      </c>
      <c r="D210" s="63" t="s">
        <v>257</v>
      </c>
      <c r="E210" s="63">
        <v>2</v>
      </c>
      <c r="F210" s="63">
        <v>2</v>
      </c>
      <c r="G210" s="63">
        <v>1</v>
      </c>
      <c r="H210" s="63">
        <v>1</v>
      </c>
      <c r="I210" s="63">
        <v>1</v>
      </c>
      <c r="J210" s="63">
        <v>2</v>
      </c>
      <c r="K210" s="72" t="str">
        <f t="shared" si="24"/>
        <v>002.002.001.001.001.002</v>
      </c>
      <c r="L210" s="72">
        <f t="shared" si="25"/>
        <v>1</v>
      </c>
      <c r="M210" s="72">
        <f t="shared" si="26"/>
        <v>5</v>
      </c>
      <c r="N210" s="72" t="b">
        <f t="shared" si="27"/>
        <v>1</v>
      </c>
      <c r="O210" s="72" t="b">
        <f t="shared" si="28"/>
        <v>1</v>
      </c>
      <c r="P210" s="72" t="b">
        <f t="shared" si="29"/>
        <v>1</v>
      </c>
      <c r="Q210" s="72" t="b">
        <f t="shared" si="30"/>
        <v>0</v>
      </c>
      <c r="R210" s="72" t="str">
        <f t="shared" si="31"/>
        <v>2.2.1.1.1.T2</v>
      </c>
      <c r="X210" s="60" t="s">
        <v>254</v>
      </c>
      <c r="Z210" s="63">
        <v>1</v>
      </c>
      <c r="AA210" s="63">
        <f>IF(AB210="完了",1,0)</f>
        <v>0</v>
      </c>
      <c r="AB210" s="63" t="s">
        <v>234</v>
      </c>
      <c r="AC210" s="63">
        <f>AM210/IF(AL210+AM210=0,1,AL210+AM210)</f>
        <v>0</v>
      </c>
      <c r="AD210" s="71"/>
      <c r="AE210" s="63">
        <v>1</v>
      </c>
      <c r="AF210" s="63" t="s">
        <v>234</v>
      </c>
      <c r="AG210" s="63" t="s">
        <v>234</v>
      </c>
      <c r="AH210" s="73"/>
      <c r="AI210" s="63"/>
      <c r="AJ210" s="63"/>
      <c r="AK210" s="63"/>
      <c r="AL210" s="63"/>
      <c r="AM210" s="63"/>
      <c r="AN210" s="63"/>
      <c r="AO210" s="63"/>
      <c r="AP210" s="63" t="s">
        <v>234</v>
      </c>
      <c r="AQ210" s="63" t="s">
        <v>234</v>
      </c>
    </row>
    <row r="211" spans="1:44" ht="18" customHeight="1">
      <c r="B211" s="63"/>
      <c r="C211" s="63" t="s">
        <v>257</v>
      </c>
      <c r="D211" s="63" t="s">
        <v>257</v>
      </c>
      <c r="E211" s="63">
        <v>2</v>
      </c>
      <c r="F211" s="63">
        <v>2</v>
      </c>
      <c r="G211" s="63">
        <v>1</v>
      </c>
      <c r="H211" s="63">
        <v>1</v>
      </c>
      <c r="I211" s="63">
        <v>1</v>
      </c>
      <c r="J211" s="63">
        <v>3</v>
      </c>
      <c r="K211" s="72" t="str">
        <f t="shared" si="24"/>
        <v>002.002.001.001.001.003</v>
      </c>
      <c r="L211" s="72">
        <f t="shared" si="25"/>
        <v>1</v>
      </c>
      <c r="M211" s="72">
        <f t="shared" si="26"/>
        <v>5</v>
      </c>
      <c r="N211" s="72" t="b">
        <f t="shared" si="27"/>
        <v>1</v>
      </c>
      <c r="O211" s="72" t="b">
        <f t="shared" si="28"/>
        <v>1</v>
      </c>
      <c r="P211" s="72" t="b">
        <f t="shared" si="29"/>
        <v>1</v>
      </c>
      <c r="Q211" s="72" t="b">
        <f t="shared" si="30"/>
        <v>0</v>
      </c>
      <c r="R211" s="72" t="str">
        <f t="shared" si="31"/>
        <v>2.2.1.1.1.T3</v>
      </c>
      <c r="Z211" s="63">
        <v>1</v>
      </c>
      <c r="AA211" s="63">
        <f>IF(AB211="完了",1,0)</f>
        <v>0</v>
      </c>
      <c r="AB211" s="63" t="s">
        <v>234</v>
      </c>
      <c r="AC211" s="63">
        <f>AM211/IF(AL211+AM211=0,1,AL211+AM211)</f>
        <v>0</v>
      </c>
      <c r="AD211" s="71"/>
      <c r="AE211" s="63">
        <v>1</v>
      </c>
      <c r="AF211" s="63" t="s">
        <v>234</v>
      </c>
      <c r="AG211" s="63" t="s">
        <v>234</v>
      </c>
      <c r="AH211" s="73"/>
      <c r="AI211" s="63"/>
      <c r="AJ211" s="63"/>
      <c r="AK211" s="63"/>
      <c r="AL211" s="63"/>
      <c r="AM211" s="63"/>
      <c r="AN211" s="63"/>
      <c r="AO211" s="63"/>
      <c r="AP211" s="63" t="s">
        <v>234</v>
      </c>
      <c r="AQ211" s="63" t="s">
        <v>234</v>
      </c>
    </row>
    <row r="212" spans="1:44" ht="18" customHeight="1">
      <c r="B212" s="63"/>
      <c r="C212" s="63" t="s">
        <v>257</v>
      </c>
      <c r="D212" s="63" t="s">
        <v>257</v>
      </c>
      <c r="E212" s="63">
        <v>2</v>
      </c>
      <c r="F212" s="63">
        <v>2</v>
      </c>
      <c r="G212" s="63">
        <v>1</v>
      </c>
      <c r="H212" s="63">
        <v>1</v>
      </c>
      <c r="I212" s="63">
        <v>2</v>
      </c>
      <c r="J212" s="63"/>
      <c r="K212" s="72" t="str">
        <f t="shared" si="24"/>
        <v>002.002.001.001.002.---</v>
      </c>
      <c r="L212" s="72">
        <f t="shared" si="25"/>
        <v>1</v>
      </c>
      <c r="M212" s="72">
        <f t="shared" si="26"/>
        <v>5</v>
      </c>
      <c r="N212" s="72" t="b">
        <f t="shared" si="27"/>
        <v>0</v>
      </c>
      <c r="O212" s="72" t="b">
        <f t="shared" si="28"/>
        <v>1</v>
      </c>
      <c r="P212" s="72" t="b">
        <f t="shared" si="29"/>
        <v>1</v>
      </c>
      <c r="Q212" s="72" t="b">
        <f t="shared" si="30"/>
        <v>1</v>
      </c>
      <c r="R212" s="72" t="str">
        <f t="shared" si="31"/>
        <v>2.2.1.1.2</v>
      </c>
      <c r="Z212" s="63">
        <f>SUM(_xlfn._xlws.FILTER(Z8:Z218,(E8:E218=E212)*(F8:F218=F212)*(G8:G218=G212)*(H8:H218=H212)*(I8:I218=I212)*(N8:N218=TRUE)*(O8:O218=TRUE),0))</f>
        <v>3</v>
      </c>
      <c r="AA212" s="63">
        <f>SUM(_xlfn._xlws.FILTER(AA8:AA218,(E8:E218=E212)*(F8:F218=F212)*(G8:G218=G212)*(H8:H218=H212)*(I8:I218=I212)*(N8:N218=TRUE)*(O8:O218=TRUE),0))</f>
        <v>0</v>
      </c>
      <c r="AB212" s="63" t="s">
        <v>234</v>
      </c>
      <c r="AC212" s="63">
        <f>SUM(_xlfn._xlws.FILTER(AC8:AC218,(E8:E218=E212)*(F8:F218=F212)*(G8:G218=G212)*(H8:H218=H212)*(I8:I218=I212)*(N8:N218=TRUE)*(O8:O218=TRUE),0))/IF(IFERROR(COUNT(_xlfn._xlws.FILTER(AC8:AC218,(E8:E218=E212)*(F8:F218=F212)*(G8:G218=G212)*(H8:H218=H212)*(I8:I218=I212)*(N8:N218=TRUE)*(O8:O218=TRUE))),0)=0,1,IFERROR(COUNT(_xlfn._xlws.FILTER(AC8:AC218,(E8:E218=E212)*(F8:F218=F212)*(G8:G218=G212)*(H8:H218=H212)*(I8:I218=I212)*(N8:N218=TRUE)*(O8:O218=TRUE))),0))</f>
        <v>0</v>
      </c>
      <c r="AD212" s="71">
        <f>SUM(_xlfn._xlws.FILTER(AD8:AD218*(AE8:AE218),(E8:E218=E212)*(F8:F218=F212)*(G8:G218=G212)*(H8:H218=H212)*(I8:I218=I212)*(N8:N218=TRUE)*(O8:O218=TRUE),0))/IF(SUM(_xlfn._xlws.FILTER(AE8:AE218,(E8:E218=E212)*(F8:F218=F212)*(G8:G218=G212)*(H8:H218=H212)*(I8:I218=I212)*(N8:N218=TRUE)*(O8:O218=TRUE),0))=0,1,SUM(_xlfn._xlws.FILTER(AE8:AE218,(E8:E218=E212)*(F8:F218=F212)*(G8:G218=G212)*(H8:H218=H212)*(I8:I218=I212)*(N8:N218=TRUE)*(O8:O218=TRUE),0)))</f>
        <v>0</v>
      </c>
      <c r="AE212" s="63">
        <v>1</v>
      </c>
      <c r="AF212" s="63" t="s">
        <v>234</v>
      </c>
      <c r="AG212" s="63" t="s">
        <v>234</v>
      </c>
      <c r="AH212" s="73"/>
      <c r="AI212" s="63">
        <f>SUM(_xlfn._xlws.FILTER(AI8:AI218,(E8:E218=E212)*(F8:F218=F212)*(G8:G218=G212)*(H8:H218=H212)*(I8:I218=I212)*(N8:N218=TRUE)*(O8:O218=TRUE),0))</f>
        <v>0</v>
      </c>
      <c r="AJ212" s="63"/>
      <c r="AK212" s="63"/>
      <c r="AL212" s="63">
        <f>SUM(_xlfn._xlws.FILTER(AL8:AL218,(E8:E218=E212)*(F8:F218=F212)*(G8:G218=G212)*(H8:H218=H212)*(I8:I218=I212)*(N8:N218=TRUE)*(O8:O218=TRUE),0))</f>
        <v>0</v>
      </c>
      <c r="AM212" s="63">
        <f>SUM(_xlfn._xlws.FILTER(AM8:AM218,(E8:E218=E212)*(F8:F218=F212)*(G8:G218=G212)*(H8:H218=H212)*(I8:I218=I212)*(N8:N218=TRUE)*(O8:O218=TRUE),0))</f>
        <v>0</v>
      </c>
      <c r="AN212" s="63"/>
      <c r="AO212" s="63"/>
      <c r="AP212" s="63" t="s">
        <v>234</v>
      </c>
      <c r="AQ212" s="63" t="s">
        <v>234</v>
      </c>
    </row>
    <row r="213" spans="1:44" ht="18" customHeight="1">
      <c r="B213" s="63"/>
      <c r="C213" s="63" t="s">
        <v>257</v>
      </c>
      <c r="D213" s="63" t="s">
        <v>257</v>
      </c>
      <c r="E213" s="63">
        <v>2</v>
      </c>
      <c r="F213" s="63">
        <v>2</v>
      </c>
      <c r="G213" s="63">
        <v>1</v>
      </c>
      <c r="H213" s="63">
        <v>1</v>
      </c>
      <c r="I213" s="63">
        <v>2</v>
      </c>
      <c r="J213" s="63">
        <v>1</v>
      </c>
      <c r="K213" s="72" t="str">
        <f t="shared" si="24"/>
        <v>002.002.001.001.002.001</v>
      </c>
      <c r="L213" s="72">
        <f t="shared" si="25"/>
        <v>1</v>
      </c>
      <c r="M213" s="72">
        <f t="shared" si="26"/>
        <v>5</v>
      </c>
      <c r="N213" s="72" t="b">
        <f t="shared" si="27"/>
        <v>1</v>
      </c>
      <c r="O213" s="72" t="b">
        <f t="shared" si="28"/>
        <v>1</v>
      </c>
      <c r="P213" s="72" t="b">
        <f t="shared" si="29"/>
        <v>1</v>
      </c>
      <c r="Q213" s="72" t="b">
        <f t="shared" si="30"/>
        <v>0</v>
      </c>
      <c r="R213" s="72" t="str">
        <f t="shared" si="31"/>
        <v>2.2.1.1.2.T1</v>
      </c>
      <c r="X213" s="60" t="s">
        <v>253</v>
      </c>
      <c r="Z213" s="63">
        <v>1</v>
      </c>
      <c r="AA213" s="63">
        <f>IF(AB213="完了",1,0)</f>
        <v>0</v>
      </c>
      <c r="AB213" s="63" t="s">
        <v>234</v>
      </c>
      <c r="AC213" s="63">
        <f>AM213/IF(AL213+AM213=0,1,AL213+AM213)</f>
        <v>0</v>
      </c>
      <c r="AD213" s="71"/>
      <c r="AE213" s="63">
        <v>1</v>
      </c>
      <c r="AF213" s="63" t="s">
        <v>234</v>
      </c>
      <c r="AG213" s="63" t="s">
        <v>234</v>
      </c>
      <c r="AH213" s="73"/>
      <c r="AI213" s="63"/>
      <c r="AJ213" s="63"/>
      <c r="AK213" s="63"/>
      <c r="AL213" s="63"/>
      <c r="AM213" s="63"/>
      <c r="AN213" s="63"/>
      <c r="AO213" s="63"/>
      <c r="AP213" s="63" t="s">
        <v>234</v>
      </c>
      <c r="AQ213" s="63" t="s">
        <v>234</v>
      </c>
    </row>
    <row r="214" spans="1:44" ht="18" customHeight="1">
      <c r="B214" s="63"/>
      <c r="C214" s="63" t="s">
        <v>257</v>
      </c>
      <c r="D214" s="63" t="s">
        <v>257</v>
      </c>
      <c r="E214" s="63">
        <v>2</v>
      </c>
      <c r="F214" s="63">
        <v>2</v>
      </c>
      <c r="G214" s="63">
        <v>1</v>
      </c>
      <c r="H214" s="63">
        <v>1</v>
      </c>
      <c r="I214" s="63">
        <v>2</v>
      </c>
      <c r="J214" s="63">
        <v>2</v>
      </c>
      <c r="K214" s="72" t="str">
        <f t="shared" si="24"/>
        <v>002.002.001.001.002.002</v>
      </c>
      <c r="L214" s="72">
        <f t="shared" si="25"/>
        <v>1</v>
      </c>
      <c r="M214" s="72">
        <f t="shared" si="26"/>
        <v>5</v>
      </c>
      <c r="N214" s="72" t="b">
        <f t="shared" si="27"/>
        <v>1</v>
      </c>
      <c r="O214" s="72" t="b">
        <f t="shared" si="28"/>
        <v>1</v>
      </c>
      <c r="P214" s="72" t="b">
        <f t="shared" si="29"/>
        <v>1</v>
      </c>
      <c r="Q214" s="72" t="b">
        <f t="shared" si="30"/>
        <v>0</v>
      </c>
      <c r="R214" s="72" t="str">
        <f t="shared" si="31"/>
        <v>2.2.1.1.2.T2</v>
      </c>
      <c r="X214" s="60" t="s">
        <v>254</v>
      </c>
      <c r="Z214" s="63">
        <v>1</v>
      </c>
      <c r="AA214" s="63">
        <f>IF(AB214="完了",1,0)</f>
        <v>0</v>
      </c>
      <c r="AB214" s="63" t="s">
        <v>234</v>
      </c>
      <c r="AC214" s="63">
        <f>AM214/IF(AL214+AM214=0,1,AL214+AM214)</f>
        <v>0</v>
      </c>
      <c r="AD214" s="71"/>
      <c r="AE214" s="63">
        <v>1</v>
      </c>
      <c r="AF214" s="63" t="s">
        <v>234</v>
      </c>
      <c r="AG214" s="63" t="s">
        <v>234</v>
      </c>
      <c r="AH214" s="73"/>
      <c r="AI214" s="63"/>
      <c r="AJ214" s="63"/>
      <c r="AK214" s="63"/>
      <c r="AL214" s="63"/>
      <c r="AM214" s="63"/>
      <c r="AN214" s="63"/>
      <c r="AO214" s="63"/>
      <c r="AP214" s="63" t="s">
        <v>234</v>
      </c>
      <c r="AQ214" s="63" t="s">
        <v>234</v>
      </c>
    </row>
    <row r="215" spans="1:44" ht="18" customHeight="1">
      <c r="B215" s="63"/>
      <c r="C215" s="63" t="s">
        <v>257</v>
      </c>
      <c r="D215" s="63" t="s">
        <v>257</v>
      </c>
      <c r="E215" s="63">
        <v>2</v>
      </c>
      <c r="F215" s="63">
        <v>2</v>
      </c>
      <c r="G215" s="63">
        <v>1</v>
      </c>
      <c r="H215" s="63">
        <v>1</v>
      </c>
      <c r="I215" s="63">
        <v>2</v>
      </c>
      <c r="J215" s="63">
        <v>3</v>
      </c>
      <c r="K215" s="72" t="str">
        <f t="shared" si="24"/>
        <v>002.002.001.001.002.003</v>
      </c>
      <c r="L215" s="72">
        <f t="shared" si="25"/>
        <v>1</v>
      </c>
      <c r="M215" s="72">
        <f t="shared" si="26"/>
        <v>5</v>
      </c>
      <c r="N215" s="72" t="b">
        <f t="shared" si="27"/>
        <v>1</v>
      </c>
      <c r="O215" s="72" t="b">
        <f t="shared" si="28"/>
        <v>1</v>
      </c>
      <c r="P215" s="72" t="b">
        <f t="shared" si="29"/>
        <v>1</v>
      </c>
      <c r="Q215" s="72" t="b">
        <f t="shared" si="30"/>
        <v>0</v>
      </c>
      <c r="R215" s="72" t="str">
        <f t="shared" si="31"/>
        <v>2.2.1.1.2.T3</v>
      </c>
      <c r="Z215" s="63">
        <v>1</v>
      </c>
      <c r="AA215" s="63">
        <f>IF(AB215="完了",1,0)</f>
        <v>0</v>
      </c>
      <c r="AB215" s="63" t="s">
        <v>234</v>
      </c>
      <c r="AC215" s="63">
        <f>AM215/IF(AL215+AM215=0,1,AL215+AM215)</f>
        <v>0</v>
      </c>
      <c r="AD215" s="71"/>
      <c r="AE215" s="63">
        <v>1</v>
      </c>
      <c r="AF215" s="63" t="s">
        <v>234</v>
      </c>
      <c r="AG215" s="63" t="s">
        <v>234</v>
      </c>
      <c r="AH215" s="73"/>
      <c r="AI215" s="63"/>
      <c r="AJ215" s="63"/>
      <c r="AK215" s="63"/>
      <c r="AL215" s="63"/>
      <c r="AM215" s="63"/>
      <c r="AN215" s="63"/>
      <c r="AO215" s="63"/>
      <c r="AP215" s="63" t="s">
        <v>234</v>
      </c>
      <c r="AQ215" s="63" t="s">
        <v>234</v>
      </c>
    </row>
    <row r="216" spans="1:44" ht="18" customHeight="1">
      <c r="B216" s="63"/>
      <c r="C216" s="63" t="s">
        <v>257</v>
      </c>
      <c r="D216" s="63" t="s">
        <v>257</v>
      </c>
      <c r="E216" s="63">
        <v>2</v>
      </c>
      <c r="F216" s="63">
        <v>2</v>
      </c>
      <c r="G216" s="63">
        <v>1</v>
      </c>
      <c r="H216" s="63">
        <v>2</v>
      </c>
      <c r="I216" s="63"/>
      <c r="J216" s="63"/>
      <c r="K216" s="72" t="str">
        <f t="shared" si="24"/>
        <v>002.002.001.002.---.---</v>
      </c>
      <c r="L216" s="72">
        <f t="shared" si="25"/>
        <v>1</v>
      </c>
      <c r="M216" s="72">
        <f t="shared" si="26"/>
        <v>4</v>
      </c>
      <c r="N216" s="72" t="b">
        <f t="shared" si="27"/>
        <v>0</v>
      </c>
      <c r="O216" s="72" t="b">
        <f t="shared" si="28"/>
        <v>1</v>
      </c>
      <c r="P216" s="72" t="b">
        <f t="shared" si="29"/>
        <v>1</v>
      </c>
      <c r="Q216" s="72" t="b">
        <f t="shared" si="30"/>
        <v>1</v>
      </c>
      <c r="R216" s="72" t="str">
        <f t="shared" si="31"/>
        <v>2.2.1.2</v>
      </c>
      <c r="Z216" s="63">
        <f>SUM(_xlfn._xlws.FILTER(Z8:Z218,(E8:E218=E216)*(F8:F218=F216)*(G8:G218=G216)*(H8:H218=H216)*(ISNUMBER(I8:I218))*(N8:N218=FALSE)*(O8:O218=TRUE),0))+SUM(_xlfn._xlws.FILTER(Z8:Z218,(E8:E218=E216)*(F8:F218=F216)*(G8:G218=G216)*(H8:H218=H216)*(I8:I218="")*(N8:N218=TRUE)*(O8:O218=TRUE),0))</f>
        <v>1</v>
      </c>
      <c r="AA216" s="63">
        <f>SUM(_xlfn._xlws.FILTER(AA8:AA218,(E8:E218=E216)*(F8:F218=F216)*(G8:G218=G216)*(H8:H218=H216)*(ISNUMBER(I8:I218))*(N8:N218=FALSE)*(O8:O218=TRUE),0))+SUM(_xlfn._xlws.FILTER(AA8:AA218,(E8:E218=E216)*(F8:F218=F216)*(G8:G218=G216)*(H8:H218=H216)*(I8:I218="")*(N8:N218=TRUE)*(O8:O218=TRUE),0))</f>
        <v>1</v>
      </c>
      <c r="AB216" s="63" t="s">
        <v>234</v>
      </c>
      <c r="AC216" s="63">
        <f>(SUM(_xlfn._xlws.FILTER(AC8:AC218,(E8:E218=E216)*(F8:F218=F216)*(G8:G218=G216)*(H8:H218=H216)*(ISNUMBER(I8:I218))*(N8:N218=FALSE)*(O8:O218=TRUE),0))+SUM(_xlfn._xlws.FILTER(AC8:AC218,(E8:E218=E216)*(F8:F218=F216)*(G8:G218=G216)*(H8:H218=H216)*(I8:I218="")*(N8:N218=TRUE)*(O8:O218=TRUE),0)))/IF(IFERROR(COUNT(_xlfn._xlws.FILTER(AC8:AC218,(E8:E218=E216)*(F8:F218=F216)*(G8:G218=G216)*(H8:H218=H216)*(ISNUMBER(I8:I218))*(N8:N218=FALSE)*(O8:O218=TRUE))),0)+IFERROR(COUNT(_xlfn._xlws.FILTER(AC8:AC218,(E8:E218=E216)*(F8:F218=F216)*(G8:G218=G216)*(H8:H218=H216)*(I8:I218="")*(N8:N218=TRUE)*(O8:O218=TRUE))),0)=0,1,IFERROR(COUNT(_xlfn._xlws.FILTER(AC8:AC218,(E8:E218=E216)*(F8:F218=F216)*(G8:G218=G216)*(H8:H218=H216)*(ISNUMBER(I8:I218))*(N8:N218=FALSE)*(O8:O218=TRUE))),0)+IFERROR(COUNT(_xlfn._xlws.FILTER(AC8:AC218,(E8:E218=E216)*(F8:F218=F216)*(G8:G218=G216)*(H8:H218=H216)*(I8:I218="")*(N8:N218=TRUE)*(O8:O218=TRUE))),0))</f>
        <v>0</v>
      </c>
      <c r="AD216" s="71">
        <f>(SUM(_xlfn._xlws.FILTER(AD8:AD218*(AE8:AE218),(E8:E218=E216)*(F8:F218=F216)*(G8:G218=G216)*(H8:H218=H216)*(ISNUMBER(I8:I218))*(N8:N218=FALSE)*(O8:O218=TRUE),0))+SUM(_xlfn._xlws.FILTER(AD8:AD218*(AE8:AE218),(E8:E218=E216)*(F8:F218=F216)*(G8:G218=G216)*(H8:H218=H216)*(I8:I218="")*(N8:N218=TRUE)*(O8:O218=TRUE),0)))/IF(SUM(_xlfn._xlws.FILTER(AE8:AE218,(E8:E218=E216)*(F8:F218=F216)*(G8:G218=G216)*(H8:H218=H216)*(ISNUMBER(I8:I218))*(N8:N218=FALSE)*(O8:O218=TRUE),0))+SUM(_xlfn._xlws.FILTER(AE8:AE218,(E8:E218=E216)*(F8:F218=F216)*(G8:G218=G216)*(H8:H218=H216)*(I8:I218="")*(N8:N218=TRUE)*(O8:O218=TRUE),0))=0,1,SUM(_xlfn._xlws.FILTER(AE8:AE218,(E8:E218=E216)*(F8:F218=F216)*(G8:G218=G216)*(H8:H218=H216)*(ISNUMBER(I8:I218))*(N8:N218=FALSE)*(O8:O218=TRUE),0))+SUM(_xlfn._xlws.FILTER(AE8:AE218,(E8:E218=E216)*(F8:F218=F216)*(G8:G218=G216)*(H8:H218=H216)*(I8:I218="")*(N8:N218=TRUE)*(O8:O218=TRUE),0)))</f>
        <v>0</v>
      </c>
      <c r="AE216" s="63">
        <v>1</v>
      </c>
      <c r="AF216" s="63" t="s">
        <v>234</v>
      </c>
      <c r="AG216" s="63" t="s">
        <v>234</v>
      </c>
      <c r="AH216" s="73"/>
      <c r="AI216" s="63">
        <f>SUM(_xlfn._xlws.FILTER(AI8:AI218,(E8:E218=E216)*(F8:F218=F216)*(G8:G218=G216)*(H8:H218=H216)*(ISNUMBER(I8:I218))*(N8:N218=FALSE)*(O8:O218=TRUE),0))+SUM(_xlfn._xlws.FILTER(AI8:AI218,(E8:E218=E216)*(F8:F218=F216)*(G8:G218=G216)*(H8:H218=H216)*(I8:I218="")*(N8:N218=TRUE)*(O8:O218=TRUE),0))</f>
        <v>0</v>
      </c>
      <c r="AJ216" s="63"/>
      <c r="AK216" s="63"/>
      <c r="AL216" s="63">
        <f>SUM(_xlfn._xlws.FILTER(AL8:AL218,(E8:E218=E216)*(F8:F218=F216)*(G8:G218=G216)*(H8:H218=H216)*(ISNUMBER(I8:I218))*(N8:N218=FALSE)*(O8:O218=TRUE),0))+SUM(_xlfn._xlws.FILTER(AL8:AL218,(E8:E218=E216)*(F8:F218=F216)*(G8:G218=G216)*(H8:H218=H216)*(I8:I218="")*(N8:N218=TRUE)*(O8:O218=TRUE),0))</f>
        <v>0</v>
      </c>
      <c r="AM216" s="63">
        <f>SUM(_xlfn._xlws.FILTER(AM8:AM218,(E8:E218=E216)*(F8:F218=F216)*(G8:G218=G216)*(H8:H218=H216)*(ISNUMBER(I8:I218))*(N8:N218=FALSE)*(O8:O218=TRUE),0))+SUM(_xlfn._xlws.FILTER(AM8:AM218,(E8:E218=E216)*(F8:F218=F216)*(G8:G218=G216)*(H8:H218=H216)*(I8:I218="")*(N8:N218=TRUE)*(O8:O218=TRUE),0))</f>
        <v>0</v>
      </c>
      <c r="AN216" s="63"/>
      <c r="AO216" s="63"/>
      <c r="AP216" s="63" t="s">
        <v>234</v>
      </c>
      <c r="AQ216" s="63" t="s">
        <v>234</v>
      </c>
    </row>
    <row r="217" spans="1:44" ht="18" customHeight="1">
      <c r="B217" s="63"/>
      <c r="C217" s="63" t="s">
        <v>257</v>
      </c>
      <c r="D217" s="63" t="s">
        <v>257</v>
      </c>
      <c r="E217" s="63">
        <v>2</v>
      </c>
      <c r="F217" s="63">
        <v>2</v>
      </c>
      <c r="G217" s="63">
        <v>1</v>
      </c>
      <c r="H217" s="63">
        <v>2</v>
      </c>
      <c r="I217" s="63"/>
      <c r="J217" s="63">
        <v>1</v>
      </c>
      <c r="K217" s="72" t="str">
        <f t="shared" si="24"/>
        <v>002.002.001.002.---.001</v>
      </c>
      <c r="L217" s="72">
        <f t="shared" si="25"/>
        <v>1</v>
      </c>
      <c r="M217" s="72">
        <f t="shared" si="26"/>
        <v>4</v>
      </c>
      <c r="N217" s="72" t="b">
        <f t="shared" si="27"/>
        <v>1</v>
      </c>
      <c r="O217" s="72" t="b">
        <f t="shared" si="28"/>
        <v>1</v>
      </c>
      <c r="P217" s="72" t="b">
        <f t="shared" si="29"/>
        <v>1</v>
      </c>
      <c r="Q217" s="72" t="b">
        <f t="shared" si="30"/>
        <v>0</v>
      </c>
      <c r="R217" s="72" t="str">
        <f t="shared" si="31"/>
        <v>2.2.1.2.T1</v>
      </c>
      <c r="X217" s="60" t="s">
        <v>248</v>
      </c>
      <c r="Z217" s="63">
        <v>1</v>
      </c>
      <c r="AA217" s="63">
        <f>IF(AB217="完了",1,0)</f>
        <v>1</v>
      </c>
      <c r="AB217" s="63" t="s">
        <v>204</v>
      </c>
      <c r="AC217" s="63">
        <f>AM217/IF(AL217+AM217=0,1,AL217+AM217)</f>
        <v>0</v>
      </c>
      <c r="AD217" s="71"/>
      <c r="AE217" s="63">
        <v>1</v>
      </c>
      <c r="AF217" s="63" t="s">
        <v>234</v>
      </c>
      <c r="AG217" s="63" t="s">
        <v>234</v>
      </c>
      <c r="AH217" s="73"/>
      <c r="AI217" s="63"/>
      <c r="AJ217" s="63"/>
      <c r="AK217" s="63"/>
      <c r="AL217" s="63"/>
      <c r="AM217" s="63"/>
      <c r="AN217" s="63"/>
      <c r="AO217" s="63"/>
      <c r="AP217" s="63" t="s">
        <v>234</v>
      </c>
      <c r="AQ217" s="63" t="s">
        <v>234</v>
      </c>
    </row>
    <row r="218" spans="1:44" ht="18" customHeight="1">
      <c r="B218" s="63"/>
      <c r="C218" s="63" t="s">
        <v>257</v>
      </c>
      <c r="D218" s="63" t="s">
        <v>257</v>
      </c>
      <c r="E218" s="63"/>
      <c r="F218" s="63"/>
      <c r="G218" s="63"/>
      <c r="H218" s="63"/>
      <c r="I218" s="63"/>
      <c r="J218" s="63"/>
      <c r="K218" s="72" t="str">
        <f t="shared" si="24"/>
        <v>XXX.XXX.XXX.XXX.XXX.XXX</v>
      </c>
      <c r="L218" s="72">
        <f t="shared" si="25"/>
        <v>1</v>
      </c>
      <c r="M218" s="72">
        <f t="shared" si="26"/>
        <v>0</v>
      </c>
      <c r="N218" s="72" t="b">
        <f t="shared" si="27"/>
        <v>0</v>
      </c>
      <c r="O218" s="72" t="b">
        <f t="shared" si="28"/>
        <v>1</v>
      </c>
      <c r="P218" s="72" t="b">
        <f t="shared" si="29"/>
        <v>0</v>
      </c>
      <c r="Q218" s="72" t="b">
        <f t="shared" si="30"/>
        <v>0</v>
      </c>
      <c r="R218" s="72" t="str">
        <f t="shared" si="31"/>
        <v/>
      </c>
      <c r="Z218" s="63"/>
      <c r="AA218" s="63"/>
      <c r="AB218" s="63" t="s">
        <v>234</v>
      </c>
      <c r="AC218" s="63"/>
      <c r="AD218" s="71"/>
      <c r="AE218" s="63">
        <v>1</v>
      </c>
      <c r="AF218" s="63" t="s">
        <v>234</v>
      </c>
      <c r="AG218" s="63" t="s">
        <v>234</v>
      </c>
      <c r="AH218" s="73"/>
      <c r="AI218" s="63"/>
      <c r="AJ218" s="63"/>
      <c r="AK218" s="63"/>
      <c r="AL218" s="63"/>
      <c r="AM218" s="63"/>
      <c r="AN218" s="63"/>
      <c r="AO218" s="63"/>
      <c r="AP218" s="63" t="s">
        <v>234</v>
      </c>
      <c r="AQ218" s="63" t="s">
        <v>234</v>
      </c>
    </row>
    <row r="219" spans="1:44" ht="18" customHeight="1">
      <c r="A219" s="60" t="s">
        <v>221</v>
      </c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/>
      <c r="T219" s="69"/>
      <c r="U219" s="69"/>
      <c r="V219" s="69"/>
      <c r="W219" s="69"/>
      <c r="X219" s="69"/>
      <c r="Y219" s="69"/>
      <c r="Z219" s="69" t="s">
        <v>203</v>
      </c>
      <c r="AA219" s="69" t="s">
        <v>203</v>
      </c>
      <c r="AB219" s="69"/>
      <c r="AC219" s="69" t="s">
        <v>222</v>
      </c>
      <c r="AD219" s="69" t="s">
        <v>222</v>
      </c>
      <c r="AE219" s="69"/>
      <c r="AF219" s="69"/>
      <c r="AG219" s="69"/>
      <c r="AH219" s="69"/>
      <c r="AI219" s="69" t="s">
        <v>223</v>
      </c>
      <c r="AJ219" s="69"/>
      <c r="AK219" s="69"/>
      <c r="AL219" s="69" t="s">
        <v>223</v>
      </c>
      <c r="AM219" s="69" t="s">
        <v>223</v>
      </c>
      <c r="AN219" s="69"/>
      <c r="AO219" s="69"/>
      <c r="AP219" s="69"/>
      <c r="AQ219" s="69"/>
      <c r="AR219" s="69"/>
    </row>
    <row r="220" spans="1:44" ht="18" customHeight="1">
      <c r="C220" s="63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>
        <f>SUM(_xlfn._xlws.FILTER(Z8:Z218,(ISNUMBER(E8:E218))*(F8:F218="")*(G8:G218="")*(H8:H218="")*(I8:I218="")*(N8:N218=FALSE)*(O8:O218=TRUE),0))</f>
        <v>142</v>
      </c>
      <c r="AA220" s="63">
        <f>SUM(_xlfn._xlws.FILTER(AA8:AA218,(ISNUMBER(E8:E218))*(F8:F218="")*(G8:G218="")*(H8:H218="")*(I8:I218="")*(N8:N218=FALSE)*(O8:O218=TRUE),0))</f>
        <v>14</v>
      </c>
      <c r="AB220" s="63"/>
      <c r="AC220" s="63">
        <f>SUM(_xlfn._xlws.FILTER(AC8:AC218,(ISNUMBER(E8:E218))*(F8:F218="")*(G8:G218="")*(H8:H218="")*(I8:I218="")*(N8:N218=FALSE)*(O8:O218=TRUE),0))/IF(IFERROR(COUNT(_xlfn._xlws.FILTER(AC8:AC218,(ISNUMBER(E8:E218))*(F8:F218="")*(G8:G218="")*(H8:H218="")*(I8:I218="")*(N8:N218=FALSE)*(O8:O218=TRUE))),0)=0,1,IFERROR(COUNT(_xlfn._xlws.FILTER(AC8:AC218,(ISNUMBER(E8:E218))*(F8:F218="")*(G8:G218="")*(H8:H218="")*(I8:I218="")*(N8:N218=FALSE)*(O8:O218=TRUE))),0))</f>
        <v>0</v>
      </c>
      <c r="AD220" s="63">
        <f>SUM(_xlfn._xlws.FILTER(AD8:AD218*(AE8:AE218),(ISNUMBER(E8:E218))*(F8:F218="")*(G8:G218="")*(H8:H218="")*(I8:I218="")*(N8:N218=FALSE)*(O8:O218=TRUE),0))/IF(SUM(_xlfn._xlws.FILTER(AE8:AE218,(ISNUMBER(E8:E218))*(F8:F218="")*(G8:G218="")*(H8:H218="")*(I8:I218="")*(N8:N218=FALSE)*(O8:O218=TRUE),0))=0,1,SUM(_xlfn._xlws.FILTER(AE8:AE218,(ISNUMBER(E8:E218))*(F8:F218="")*(G8:G218="")*(H8:H218="")*(I8:I218="")*(N8:N218=FALSE)*(O8:O218=TRUE),0)))</f>
        <v>3.3333333333333333E-2</v>
      </c>
      <c r="AE220" s="63"/>
      <c r="AF220" s="63"/>
      <c r="AG220" s="63"/>
      <c r="AH220" s="63"/>
      <c r="AI220" s="63">
        <f>SUM(_xlfn._xlws.FILTER(AI8:AI218,(ISNUMBER(E8:E218))*(F8:F218="")*(G8:G218="")*(H8:H218="")*(I8:I218="")*(N8:N218=FALSE)*(O8:O218=TRUE),0))</f>
        <v>0</v>
      </c>
      <c r="AJ220" s="63"/>
      <c r="AK220" s="63"/>
      <c r="AL220" s="63">
        <f>SUM(_xlfn._xlws.FILTER(AL8:AL218,(ISNUMBER(E8:E218))*(F8:F218="")*(G8:G218="")*(H8:H218="")*(I8:I218="")*(N8:N218=FALSE)*(O8:O218=TRUE),0))</f>
        <v>0</v>
      </c>
      <c r="AM220" s="63">
        <f>SUM(_xlfn._xlws.FILTER(AM8:AM218,(ISNUMBER(E8:E218))*(F8:F218="")*(G8:G218="")*(H8:H218="")*(I8:I218="")*(N8:N218=FALSE)*(O8:O218=TRUE),0))</f>
        <v>0</v>
      </c>
      <c r="AN220" s="63"/>
      <c r="AO220" s="63"/>
      <c r="AP220" s="63"/>
      <c r="AQ220" s="63"/>
      <c r="AR220" s="63"/>
    </row>
  </sheetData>
  <autoFilter ref="E7:AQ218" xr:uid="{16684C8A-74E5-4243-ADFB-B62E82966E65}"/>
  <phoneticPr fontId="1"/>
  <conditionalFormatting sqref="C7:AR7">
    <cfRule type="expression" dxfId="67" priority="1">
      <formula>TRUE</formula>
    </cfRule>
  </conditionalFormatting>
  <conditionalFormatting sqref="C219:AR219">
    <cfRule type="expression" dxfId="66" priority="2">
      <formula>TRUE</formula>
    </cfRule>
  </conditionalFormatting>
  <conditionalFormatting sqref="C5:AR5">
    <cfRule type="expression" dxfId="65" priority="3">
      <formula>TRUE</formula>
    </cfRule>
  </conditionalFormatting>
  <conditionalFormatting sqref="C5:AR6">
    <cfRule type="expression" dxfId="64" priority="4">
      <formula>TRUE</formula>
    </cfRule>
  </conditionalFormatting>
  <conditionalFormatting sqref="C3:AR3">
    <cfRule type="expression" dxfId="63" priority="5">
      <formula>TRUE</formula>
    </cfRule>
  </conditionalFormatting>
  <conditionalFormatting sqref="C4:AR4">
    <cfRule type="expression" dxfId="62" priority="6">
      <formula>TRUE</formula>
    </cfRule>
  </conditionalFormatting>
  <conditionalFormatting sqref="C5:C6">
    <cfRule type="expression" dxfId="61" priority="7">
      <formula>TRUE</formula>
    </cfRule>
  </conditionalFormatting>
  <conditionalFormatting sqref="E5:E6">
    <cfRule type="expression" dxfId="60" priority="8">
      <formula>TRUE</formula>
    </cfRule>
  </conditionalFormatting>
  <conditionalFormatting sqref="J5:J6">
    <cfRule type="expression" dxfId="59" priority="9">
      <formula>TRUE</formula>
    </cfRule>
  </conditionalFormatting>
  <conditionalFormatting sqref="AB5:AC6">
    <cfRule type="expression" dxfId="58" priority="10">
      <formula>TRUE</formula>
    </cfRule>
  </conditionalFormatting>
  <conditionalFormatting sqref="AF5:AH6">
    <cfRule type="expression" dxfId="57" priority="11">
      <formula>TRUE</formula>
    </cfRule>
  </conditionalFormatting>
  <conditionalFormatting sqref="AL5:AL6">
    <cfRule type="expression" dxfId="56" priority="12">
      <formula>TRUE</formula>
    </cfRule>
  </conditionalFormatting>
  <conditionalFormatting sqref="AP5:AR6">
    <cfRule type="expression" dxfId="55" priority="13">
      <formula>TRUE</formula>
    </cfRule>
  </conditionalFormatting>
  <conditionalFormatting sqref="AC6:AE6">
    <cfRule type="expression" dxfId="54" priority="14">
      <formula>TRUE</formula>
    </cfRule>
  </conditionalFormatting>
  <conditionalFormatting sqref="AI6:AO6">
    <cfRule type="expression" dxfId="53" priority="15">
      <formula>TRUE</formula>
    </cfRule>
  </conditionalFormatting>
  <conditionalFormatting sqref="AC8:AC218">
    <cfRule type="dataBar" priority="16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{E82C363F-CBF6-4875-BEED-4FB68BC7A87B}</x14:id>
        </ext>
      </extLst>
    </cfRule>
    <cfRule type="expression" dxfId="52" priority="18">
      <formula>$AC8=0</formula>
    </cfRule>
  </conditionalFormatting>
  <conditionalFormatting sqref="AD8:AD218">
    <cfRule type="dataBar" priority="17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{34105FA6-F06E-4B3C-A87B-0535214858A9}</x14:id>
        </ext>
      </extLst>
    </cfRule>
    <cfRule type="expression" dxfId="51" priority="19">
      <formula>$AD8=0</formula>
    </cfRule>
  </conditionalFormatting>
  <conditionalFormatting sqref="AI8:AI218">
    <cfRule type="expression" dxfId="50" priority="20">
      <formula>$AI8=0</formula>
    </cfRule>
  </conditionalFormatting>
  <conditionalFormatting sqref="AL8:AL218">
    <cfRule type="expression" dxfId="49" priority="21">
      <formula>$AL8=0</formula>
    </cfRule>
  </conditionalFormatting>
  <conditionalFormatting sqref="AM8:AM218">
    <cfRule type="expression" dxfId="48" priority="22">
      <formula>$AM8=0</formula>
    </cfRule>
  </conditionalFormatting>
  <conditionalFormatting sqref="AC220:AD220">
    <cfRule type="expression" dxfId="47" priority="23">
      <formula>TRUE</formula>
    </cfRule>
  </conditionalFormatting>
  <conditionalFormatting sqref="AI220">
    <cfRule type="expression" dxfId="46" priority="24">
      <formula>TRUE</formula>
    </cfRule>
  </conditionalFormatting>
  <conditionalFormatting sqref="AL220:AM220">
    <cfRule type="expression" dxfId="45" priority="25">
      <formula>TRUE</formula>
    </cfRule>
  </conditionalFormatting>
  <conditionalFormatting sqref="AJ8:AK218">
    <cfRule type="expression" dxfId="44" priority="26">
      <formula>TRUE</formula>
    </cfRule>
  </conditionalFormatting>
  <conditionalFormatting sqref="AN8:AO218">
    <cfRule type="expression" dxfId="43" priority="27">
      <formula>TRUE</formula>
    </cfRule>
  </conditionalFormatting>
  <conditionalFormatting sqref="AC8:AC218">
    <cfRule type="expression" dxfId="42" priority="28">
      <formula>TRUE</formula>
    </cfRule>
  </conditionalFormatting>
  <conditionalFormatting sqref="AD8:AD218">
    <cfRule type="expression" dxfId="41" priority="29">
      <formula>$N8=TRUE</formula>
    </cfRule>
  </conditionalFormatting>
  <conditionalFormatting sqref="AD8:AD218">
    <cfRule type="expression" dxfId="40" priority="30">
      <formula>$N8=FALSE</formula>
    </cfRule>
  </conditionalFormatting>
  <conditionalFormatting sqref="AI8:AI218">
    <cfRule type="expression" dxfId="39" priority="31">
      <formula>$N8=TRUE</formula>
    </cfRule>
  </conditionalFormatting>
  <conditionalFormatting sqref="AI8:AI218">
    <cfRule type="expression" dxfId="38" priority="32">
      <formula>$N8=FALSE</formula>
    </cfRule>
  </conditionalFormatting>
  <conditionalFormatting sqref="AL8:AM218">
    <cfRule type="expression" dxfId="37" priority="33">
      <formula>$N8=TRUE</formula>
    </cfRule>
  </conditionalFormatting>
  <conditionalFormatting sqref="AL8:AM218">
    <cfRule type="expression" dxfId="36" priority="34">
      <formula>$N8=FALSE</formula>
    </cfRule>
  </conditionalFormatting>
  <conditionalFormatting sqref="B8:B218">
    <cfRule type="expression" dxfId="35" priority="35">
      <formula>$B8="E"</formula>
    </cfRule>
  </conditionalFormatting>
  <conditionalFormatting sqref="X8:X218">
    <cfRule type="expression" dxfId="34" priority="36">
      <formula>AND($X8="",$N8=TRUE)</formula>
    </cfRule>
  </conditionalFormatting>
  <conditionalFormatting sqref="S8:S218">
    <cfRule type="expression" dxfId="33" priority="37">
      <formula>AND($M8=1,$S8="",$N8=FALSE)</formula>
    </cfRule>
  </conditionalFormatting>
  <conditionalFormatting sqref="T8:T218">
    <cfRule type="expression" dxfId="32" priority="38">
      <formula>AND($M8=2,$T8="",$N8=FALSE)</formula>
    </cfRule>
  </conditionalFormatting>
  <conditionalFormatting sqref="U8:U218">
    <cfRule type="expression" dxfId="31" priority="39">
      <formula>AND($M8=3,$U8="",$N8=FALSE)</formula>
    </cfRule>
  </conditionalFormatting>
  <conditionalFormatting sqref="V8:V218">
    <cfRule type="expression" dxfId="30" priority="40">
      <formula>AND($M8=4,$V8="",$N8=FALSE)</formula>
    </cfRule>
  </conditionalFormatting>
  <conditionalFormatting sqref="W8:W218">
    <cfRule type="expression" dxfId="29" priority="41">
      <formula>AND($M8=5,$W8="",$N8=FALSE)</formula>
    </cfRule>
  </conditionalFormatting>
  <conditionalFormatting sqref="AD8:AD218">
    <cfRule type="expression" dxfId="28" priority="42">
      <formula>AND($AD8="",$O8=TRUE,$N8=TRUE)</formula>
    </cfRule>
  </conditionalFormatting>
  <conditionalFormatting sqref="R8:AA218">
    <cfRule type="expression" dxfId="27" priority="43">
      <formula>$O8=FALSE</formula>
    </cfRule>
  </conditionalFormatting>
  <conditionalFormatting sqref="AC8:AR218">
    <cfRule type="expression" dxfId="26" priority="44">
      <formula>$O8=FALSE</formula>
    </cfRule>
  </conditionalFormatting>
  <conditionalFormatting sqref="R8:AR218">
    <cfRule type="expression" dxfId="25" priority="45">
      <formula>AND($N8=TRUE,$AB8="却下")</formula>
    </cfRule>
  </conditionalFormatting>
  <conditionalFormatting sqref="R8:AR218">
    <cfRule type="expression" dxfId="24" priority="46">
      <formula>AND($N8=TRUE,$AB8="棚上げ")</formula>
    </cfRule>
  </conditionalFormatting>
  <conditionalFormatting sqref="R8:AR218">
    <cfRule type="expression" dxfId="23" priority="47">
      <formula>AND($N8=TRUE,$AB8="移管済")</formula>
    </cfRule>
  </conditionalFormatting>
  <conditionalFormatting sqref="R8:AR218">
    <cfRule type="expression" dxfId="22" priority="48">
      <formula>AND($N8=TRUE,$AB8="削除")</formula>
    </cfRule>
  </conditionalFormatting>
  <conditionalFormatting sqref="R8:AR218">
    <cfRule type="expression" dxfId="21" priority="49">
      <formula>AND($N8=TRUE,$AB8="完了")</formula>
    </cfRule>
  </conditionalFormatting>
  <conditionalFormatting sqref="R8:AR218">
    <cfRule type="expression" dxfId="20" priority="50">
      <formula>AND($N8=TRUE,$AB8="保留")</formula>
    </cfRule>
  </conditionalFormatting>
  <conditionalFormatting sqref="R8:AR218">
    <cfRule type="expression" dxfId="19" priority="51">
      <formula>AND($N8=TRUE,$AB8="着手中")</formula>
    </cfRule>
  </conditionalFormatting>
  <conditionalFormatting sqref="R8:AR218">
    <cfRule type="expression" dxfId="18" priority="52">
      <formula>AND($N8=TRUE,$AB8="未着手")</formula>
    </cfRule>
  </conditionalFormatting>
  <conditionalFormatting sqref="Z8:AA218">
    <cfRule type="expression" dxfId="17" priority="53">
      <formula>TRUE</formula>
    </cfRule>
  </conditionalFormatting>
  <conditionalFormatting sqref="E8:E218">
    <cfRule type="expression" dxfId="16" priority="54">
      <formula>$M8&gt;=1</formula>
    </cfRule>
  </conditionalFormatting>
  <conditionalFormatting sqref="F8:F218">
    <cfRule type="expression" dxfId="15" priority="55">
      <formula>$M8&gt;=2</formula>
    </cfRule>
  </conditionalFormatting>
  <conditionalFormatting sqref="G8:G218">
    <cfRule type="expression" dxfId="14" priority="56">
      <formula>$M8&gt;=3</formula>
    </cfRule>
  </conditionalFormatting>
  <conditionalFormatting sqref="H8:H218">
    <cfRule type="expression" dxfId="13" priority="57">
      <formula>$M8&gt;=4</formula>
    </cfRule>
  </conditionalFormatting>
  <conditionalFormatting sqref="I8:I218">
    <cfRule type="expression" dxfId="12" priority="58">
      <formula>$M8&gt;=5</formula>
    </cfRule>
  </conditionalFormatting>
  <conditionalFormatting sqref="C8:AR218">
    <cfRule type="expression" dxfId="11" priority="59">
      <formula>$N8=FALSE</formula>
    </cfRule>
  </conditionalFormatting>
  <conditionalFormatting sqref="C8:AR218">
    <cfRule type="expression" dxfId="10" priority="60">
      <formula>$N8=TRUE</formula>
    </cfRule>
  </conditionalFormatting>
  <conditionalFormatting sqref="C8:AR218">
    <cfRule type="expression" dxfId="9" priority="61">
      <formula>AND($M8=1,$N8=FALSE)</formula>
    </cfRule>
  </conditionalFormatting>
  <conditionalFormatting sqref="C8:AR218">
    <cfRule type="expression" dxfId="8" priority="62">
      <formula>AND($M8=2,$N8=FALSE)</formula>
    </cfRule>
  </conditionalFormatting>
  <conditionalFormatting sqref="C8:AR218">
    <cfRule type="expression" dxfId="7" priority="63">
      <formula>AND($M8=3,$N8=FALSE)</formula>
    </cfRule>
  </conditionalFormatting>
  <conditionalFormatting sqref="C8:AR218">
    <cfRule type="expression" dxfId="6" priority="64">
      <formula>AND($M8=4,$N8=FALSE)</formula>
    </cfRule>
  </conditionalFormatting>
  <conditionalFormatting sqref="C8:AR218">
    <cfRule type="expression" dxfId="5" priority="65">
      <formula>AND($M8=5,$N8=FALSE)</formula>
    </cfRule>
  </conditionalFormatting>
  <conditionalFormatting sqref="C8:E218">
    <cfRule type="expression" dxfId="4" priority="66">
      <formula>TRUE</formula>
    </cfRule>
  </conditionalFormatting>
  <conditionalFormatting sqref="F8:I218">
    <cfRule type="expression" dxfId="3" priority="67">
      <formula>TRUE</formula>
    </cfRule>
  </conditionalFormatting>
  <conditionalFormatting sqref="J8:J218">
    <cfRule type="expression" dxfId="2" priority="68">
      <formula>TRUE</formula>
    </cfRule>
  </conditionalFormatting>
  <conditionalFormatting sqref="K8:AA218">
    <cfRule type="expression" dxfId="1" priority="69">
      <formula>TRUE</formula>
    </cfRule>
  </conditionalFormatting>
  <conditionalFormatting sqref="AB8:AR218">
    <cfRule type="expression" dxfId="0" priority="70">
      <formula>TRUE</formula>
    </cfRule>
  </conditionalFormatting>
  <dataValidations count="16">
    <dataValidation type="list" allowBlank="1" showInputMessage="1" showErrorMessage="1" sqref="AB8:AB218" xr:uid="{DEEABFEA-15DF-4D7C-8C78-EDD2EBC73EA0}">
      <formula1>"-,未着手,着手中,保留,移管済,棚上げ,却下,完了,削除"</formula1>
    </dataValidation>
    <dataValidation type="list" allowBlank="1" showInputMessage="1" showErrorMessage="1" sqref="AF8:AF218" xr:uid="{68C533AA-29D8-40A8-A8D5-EE570FFF9DA0}">
      <formula1>"-,A社,B社,C社,-"</formula1>
    </dataValidation>
    <dataValidation type="list" allowBlank="1" showInputMessage="1" showErrorMessage="1" sqref="AG8:AG218" xr:uid="{45B62CF3-24FE-445B-BE18-B3ADA0660EDD}">
      <formula1>"-,佐藤一郎,鈴木二郎,高橋三郎,-"</formula1>
    </dataValidation>
    <dataValidation type="list" allowBlank="1" showInputMessage="1" showErrorMessage="1" sqref="AP8:AP218" xr:uid="{0E4B981D-5852-4281-8F38-29284FC9A21F}">
      <formula1>"-,A,B,C,-"</formula1>
    </dataValidation>
    <dataValidation type="list" allowBlank="1" showInputMessage="1" showErrorMessage="1" sqref="AQ8:AQ218" xr:uid="{1EA5CDB5-284E-4953-BA73-1F7154A94304}">
      <formula1>"-,D,E,F,-"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218" xr:uid="{68683B6F-2578-45C8-8382-4B3C1119F5EB}">
      <formula1>1</formula1>
      <formula2>999</formula2>
    </dataValidation>
    <dataValidation type="whole" allowBlank="1" showErrorMessage="1" errorTitle="入力エラー" error="0～5 の整数のみ入力可能です。" sqref="M8:M218" xr:uid="{C2F29BD0-D94B-4EC1-89DD-388A8262B174}">
      <formula1>0</formula1>
      <formula2>5</formula2>
    </dataValidation>
    <dataValidation type="custom" allowBlank="1" showDropDown="1" showErrorMessage="1" errorTitle="入力エラー" error="TRUE または FALSE のみ入力可能です。" sqref="N8:Q218" xr:uid="{009F2A7B-449C-45A0-BB75-4C21DE15E013}">
      <formula1>OR(ISBLANK(N8),N8=TRUE,N8=FALSE)</formula1>
    </dataValidation>
    <dataValidation type="custom" allowBlank="1" showDropDown="1" showErrorMessage="1" errorTitle="入力エラー" error="0以上の整数のみ入力可能です。" sqref="Z8:Z218" xr:uid="{77A00FE5-35BC-4D5E-BF85-66300B706E62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218" xr:uid="{E33879C8-AFC0-4E13-A6A2-5CB4F0BDF94B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218" xr:uid="{52F6E34C-D16E-44F1-AE56-7B22B346415E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218" xr:uid="{5E9C9ED4-9543-4052-912F-2C1C8BEDFBE9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218" xr:uid="{D26888A6-E86A-4896-BB7B-ACE321C37968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218" xr:uid="{022E2A4D-3066-46B4-90B5-3351CD7B2EBD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218" xr:uid="{9DC01954-2831-45F7-858B-03BA2681FD18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218" xr:uid="{AA7003C0-3BAF-4ADA-B93B-3EDF9CB79057}">
      <formula1>OR(ISBLANK(AM8),AND(ISNUMBER(AM8),AM8&gt;=0))</formula1>
    </dataValidation>
  </dataValidations>
  <hyperlinks>
    <hyperlink ref="AR2" r:id="rId1" xr:uid="{D5F8076B-2854-474E-B7B4-2801BBAA43D6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Execute1ComboBox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24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Execute1Button">
              <controlPr defaultSize="0" print="0" autoFill="0" autoPict="0" macro="[0]!wbsui.Exe1ButtonClick">
                <anchor moveWithCells="1" sizeWithCells="1">
                  <from>
                    <xdr:col>24</xdr:col>
                    <xdr:colOff>266700</xdr:colOff>
                    <xdr:row>2</xdr:row>
                    <xdr:rowOff>0</xdr:rowOff>
                  </from>
                  <to>
                    <xdr:col>24</xdr:col>
                    <xdr:colOff>771525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Reset1Button">
              <controlPr defaultSize="0" print="0" autoFill="0" autoPict="0" macro="[0]!wbsui.Reset1ButtonClick">
                <anchor moveWithCells="1" sizeWithCells="1">
                  <from>
                    <xdr:col>24</xdr:col>
                    <xdr:colOff>771525</xdr:colOff>
                    <xdr:row>2</xdr:row>
                    <xdr:rowOff>0</xdr:rowOff>
                  </from>
                  <to>
                    <xdr:col>24</xdr:col>
                    <xdr:colOff>1476375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Execute2ComboBox">
              <controlPr defaultSize="0" autoFill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24</xdr:col>
                    <xdr:colOff>3438525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8" name="Execute2Button">
              <controlPr defaultSize="0" print="0" autoFill="0" autoPict="0" macro="[0]!wbsui.Exe2ButtonClick">
                <anchor moveWithCells="1" sizeWithCells="1">
                  <from>
                    <xdr:col>24</xdr:col>
                    <xdr:colOff>3438525</xdr:colOff>
                    <xdr:row>3</xdr:row>
                    <xdr:rowOff>0</xdr:rowOff>
                  </from>
                  <to>
                    <xdr:col>24</xdr:col>
                    <xdr:colOff>3952875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9" name="Reset2Button">
              <controlPr defaultSize="0" print="0" autoFill="0" autoPict="0" macro="[0]!wbsui.Reset2ButtonClick">
                <anchor moveWithCells="1" sizeWithCells="1">
                  <from>
                    <xdr:col>24</xdr:col>
                    <xdr:colOff>3952875</xdr:colOff>
                    <xdr:row>3</xdr:row>
                    <xdr:rowOff>0</xdr:rowOff>
                  </from>
                  <to>
                    <xdr:col>25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2C363F-CBF6-4875-BEED-4FB68BC7A87B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AC8:AC218</xm:sqref>
        </x14:conditionalFormatting>
        <x14:conditionalFormatting xmlns:xm="http://schemas.microsoft.com/office/excel/2006/main">
          <x14:cfRule type="dataBar" id="{34105FA6-F06E-4B3C-A87B-0535214858A9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AD8:AD218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76"/>
  <sheetViews>
    <sheetView zoomScale="90" zoomScaleNormal="90" workbookViewId="0">
      <selection activeCell="C2" sqref="C2"/>
    </sheetView>
  </sheetViews>
  <sheetFormatPr defaultRowHeight="15" customHeight="1"/>
  <cols>
    <col min="1" max="1" width="0.125" style="1" customWidth="1"/>
    <col min="2" max="4" width="3.5" style="1" customWidth="1"/>
    <col min="5" max="10" width="3.625" style="1" customWidth="1"/>
    <col min="11" max="11" width="17.125" style="1" hidden="1" customWidth="1"/>
    <col min="12" max="12" width="3.5" style="1" customWidth="1"/>
    <col min="13" max="18" width="2.125" style="1" customWidth="1"/>
    <col min="19" max="19" width="60.5" style="1" customWidth="1"/>
    <col min="20" max="20" width="5.625" style="1" customWidth="1"/>
    <col min="21" max="21" width="8.125" style="1" customWidth="1"/>
    <col min="22" max="22" width="8" style="1" customWidth="1"/>
    <col min="23" max="23" width="5.625" style="1" customWidth="1"/>
    <col min="24" max="24" width="8.625" style="1" customWidth="1"/>
    <col min="25" max="27" width="12.625" style="1" customWidth="1"/>
    <col min="28" max="28" width="8.625" style="1" customWidth="1"/>
    <col min="29" max="30" width="10.625" style="1" customWidth="1"/>
    <col min="31" max="32" width="8.625" style="1" customWidth="1"/>
    <col min="33" max="34" width="10.625" style="1" customWidth="1"/>
    <col min="35" max="35" width="40.25" style="1" customWidth="1"/>
    <col min="36" max="36" width="2.625" style="1" customWidth="1"/>
    <col min="37" max="38" width="12.625" style="33" customWidth="1"/>
    <col min="39" max="16384" width="9" style="1"/>
  </cols>
  <sheetData>
    <row r="1" spans="1:38" ht="3.75" customHeight="1">
      <c r="A1" s="3"/>
      <c r="E1" s="2"/>
    </row>
    <row r="2" spans="1:38" ht="30" customHeight="1">
      <c r="B2" s="44" t="s">
        <v>26</v>
      </c>
    </row>
    <row r="3" spans="1:38" ht="18" customHeight="1">
      <c r="AI3" s="39" t="s">
        <v>46</v>
      </c>
    </row>
    <row r="4" spans="1:38" s="4" customFormat="1" ht="17.25" customHeight="1">
      <c r="C4" s="19" t="s">
        <v>27</v>
      </c>
      <c r="D4" s="20" t="s">
        <v>28</v>
      </c>
      <c r="E4" s="19" t="s">
        <v>0</v>
      </c>
      <c r="F4" s="20" t="s">
        <v>1</v>
      </c>
      <c r="G4" s="20" t="s">
        <v>2</v>
      </c>
      <c r="H4" s="20" t="s">
        <v>19</v>
      </c>
      <c r="I4" s="20" t="s">
        <v>20</v>
      </c>
      <c r="J4" s="22" t="s">
        <v>13</v>
      </c>
      <c r="K4" s="19" t="s">
        <v>18</v>
      </c>
      <c r="L4" s="20" t="s">
        <v>16</v>
      </c>
      <c r="M4" s="20" t="s">
        <v>17</v>
      </c>
      <c r="N4" s="20" t="s">
        <v>1</v>
      </c>
      <c r="O4" s="20" t="s">
        <v>2</v>
      </c>
      <c r="P4" s="20" t="s">
        <v>19</v>
      </c>
      <c r="Q4" s="20" t="s">
        <v>20</v>
      </c>
      <c r="R4" s="23" t="s">
        <v>13</v>
      </c>
      <c r="S4" s="24"/>
      <c r="T4" s="24"/>
      <c r="U4" s="10" t="s">
        <v>30</v>
      </c>
      <c r="V4" s="13" t="s">
        <v>31</v>
      </c>
      <c r="W4" s="25"/>
      <c r="X4" s="11"/>
      <c r="Y4" s="11"/>
      <c r="Z4" s="12"/>
      <c r="AA4" s="9"/>
      <c r="AB4" s="13" t="s">
        <v>10</v>
      </c>
      <c r="AC4" s="14"/>
      <c r="AD4" s="15"/>
      <c r="AE4" s="13" t="s">
        <v>11</v>
      </c>
      <c r="AF4" s="14"/>
      <c r="AG4" s="14"/>
      <c r="AH4" s="15"/>
      <c r="AI4" s="9"/>
      <c r="AK4" s="32" t="s">
        <v>34</v>
      </c>
      <c r="AL4" s="34"/>
    </row>
    <row r="5" spans="1:38" s="4" customFormat="1" ht="17.25" customHeight="1">
      <c r="A5" s="43" t="s">
        <v>15</v>
      </c>
      <c r="C5" s="56" t="s">
        <v>69</v>
      </c>
      <c r="D5" s="42"/>
      <c r="E5" s="45" t="s">
        <v>3</v>
      </c>
      <c r="F5" s="17"/>
      <c r="G5" s="17"/>
      <c r="H5" s="17"/>
      <c r="I5" s="17"/>
      <c r="J5" s="21"/>
      <c r="K5" s="16" t="s">
        <v>4</v>
      </c>
      <c r="L5" s="46" t="s">
        <v>29</v>
      </c>
      <c r="M5" s="17"/>
      <c r="N5" s="17"/>
      <c r="O5" s="17"/>
      <c r="P5" s="17"/>
      <c r="Q5" s="17"/>
      <c r="R5" s="17"/>
      <c r="S5" s="30"/>
      <c r="T5" s="55" t="s">
        <v>76</v>
      </c>
      <c r="U5" s="47" t="s">
        <v>24</v>
      </c>
      <c r="V5" s="47" t="s">
        <v>32</v>
      </c>
      <c r="W5" s="48" t="s">
        <v>25</v>
      </c>
      <c r="X5" s="49" t="s">
        <v>6</v>
      </c>
      <c r="Y5" s="49" t="s">
        <v>33</v>
      </c>
      <c r="Z5" s="50" t="s">
        <v>5</v>
      </c>
      <c r="AA5" s="51" t="s">
        <v>7</v>
      </c>
      <c r="AB5" s="52" t="s">
        <v>72</v>
      </c>
      <c r="AC5" s="47" t="s">
        <v>8</v>
      </c>
      <c r="AD5" s="53" t="s">
        <v>9</v>
      </c>
      <c r="AE5" s="52" t="s">
        <v>73</v>
      </c>
      <c r="AF5" s="52" t="s">
        <v>74</v>
      </c>
      <c r="AG5" s="47" t="s">
        <v>8</v>
      </c>
      <c r="AH5" s="53" t="s">
        <v>9</v>
      </c>
      <c r="AI5" s="54" t="s">
        <v>12</v>
      </c>
      <c r="AK5" s="31" t="s">
        <v>33</v>
      </c>
      <c r="AL5" s="31" t="s">
        <v>5</v>
      </c>
    </row>
    <row r="6" spans="1:38" s="4" customFormat="1" ht="18" customHeight="1">
      <c r="B6" s="5"/>
      <c r="C6" s="6" t="s">
        <v>68</v>
      </c>
      <c r="D6" s="6" t="s">
        <v>68</v>
      </c>
      <c r="E6" s="6">
        <v>1</v>
      </c>
      <c r="F6" s="6"/>
      <c r="G6" s="6"/>
      <c r="H6" s="6"/>
      <c r="I6" s="6"/>
      <c r="J6" s="6"/>
      <c r="K6" s="41" t="s">
        <v>125</v>
      </c>
      <c r="L6" s="40" t="s">
        <v>77</v>
      </c>
      <c r="M6" s="7" t="s">
        <v>65</v>
      </c>
      <c r="N6" s="7"/>
      <c r="O6" s="7"/>
      <c r="P6" s="7"/>
      <c r="Q6" s="7"/>
      <c r="R6" s="7"/>
      <c r="S6" s="7"/>
      <c r="T6" s="59">
        <v>2</v>
      </c>
      <c r="U6" s="18">
        <v>1</v>
      </c>
      <c r="V6" s="18">
        <v>1</v>
      </c>
      <c r="W6" s="6">
        <v>1</v>
      </c>
      <c r="X6" s="6" t="s">
        <v>173</v>
      </c>
      <c r="Y6" s="7"/>
      <c r="Z6" s="7"/>
      <c r="AA6" s="7"/>
      <c r="AB6" s="6">
        <v>4</v>
      </c>
      <c r="AC6" s="8"/>
      <c r="AD6" s="8"/>
      <c r="AE6" s="6">
        <v>0</v>
      </c>
      <c r="AF6" s="6">
        <v>40</v>
      </c>
      <c r="AG6" s="8"/>
      <c r="AH6" s="8"/>
      <c r="AI6" s="7"/>
      <c r="AK6" s="6" t="s">
        <v>36</v>
      </c>
      <c r="AL6" s="6" t="s">
        <v>37</v>
      </c>
    </row>
    <row r="7" spans="1:38" s="4" customFormat="1" ht="18" customHeight="1">
      <c r="B7" s="5"/>
      <c r="C7" s="6" t="s">
        <v>68</v>
      </c>
      <c r="D7" s="6" t="s">
        <v>68</v>
      </c>
      <c r="E7" s="6">
        <v>1</v>
      </c>
      <c r="F7" s="6"/>
      <c r="G7" s="6"/>
      <c r="H7" s="6"/>
      <c r="I7" s="6"/>
      <c r="J7" s="6">
        <v>1</v>
      </c>
      <c r="K7" s="41" t="s">
        <v>126</v>
      </c>
      <c r="L7" s="40" t="s">
        <v>78</v>
      </c>
      <c r="M7" s="7"/>
      <c r="N7" s="7"/>
      <c r="O7" s="7"/>
      <c r="P7" s="7"/>
      <c r="Q7" s="7"/>
      <c r="R7" s="7" t="s">
        <v>50</v>
      </c>
      <c r="S7" s="7"/>
      <c r="T7" s="59">
        <v>1</v>
      </c>
      <c r="U7" s="18">
        <v>1</v>
      </c>
      <c r="V7" s="18">
        <v>1</v>
      </c>
      <c r="W7" s="6">
        <v>1</v>
      </c>
      <c r="X7" s="6" t="s">
        <v>173</v>
      </c>
      <c r="Y7" s="7"/>
      <c r="Z7" s="7"/>
      <c r="AA7" s="7"/>
      <c r="AB7" s="6">
        <v>2</v>
      </c>
      <c r="AC7" s="8"/>
      <c r="AD7" s="8"/>
      <c r="AE7" s="6">
        <v>0</v>
      </c>
      <c r="AF7" s="6">
        <v>20</v>
      </c>
      <c r="AG7" s="8"/>
      <c r="AH7" s="8"/>
      <c r="AI7" s="7"/>
      <c r="AK7" s="6" t="s">
        <v>47</v>
      </c>
      <c r="AL7" s="6" t="s">
        <v>38</v>
      </c>
    </row>
    <row r="8" spans="1:38" s="4" customFormat="1" ht="18" customHeight="1">
      <c r="B8" s="5"/>
      <c r="C8" s="6" t="s">
        <v>68</v>
      </c>
      <c r="D8" s="6" t="s">
        <v>68</v>
      </c>
      <c r="E8" s="6">
        <v>1</v>
      </c>
      <c r="F8" s="6"/>
      <c r="G8" s="6"/>
      <c r="H8" s="6"/>
      <c r="I8" s="6"/>
      <c r="J8" s="6">
        <v>2</v>
      </c>
      <c r="K8" s="41" t="s">
        <v>127</v>
      </c>
      <c r="L8" s="40" t="s">
        <v>79</v>
      </c>
      <c r="M8" s="7"/>
      <c r="N8" s="7"/>
      <c r="O8" s="7"/>
      <c r="P8" s="7"/>
      <c r="Q8" s="7"/>
      <c r="R8" s="7" t="s">
        <v>64</v>
      </c>
      <c r="S8" s="7"/>
      <c r="T8" s="59">
        <v>1</v>
      </c>
      <c r="U8" s="18">
        <v>1</v>
      </c>
      <c r="V8" s="18">
        <v>1</v>
      </c>
      <c r="W8" s="6">
        <v>1</v>
      </c>
      <c r="X8" s="6" t="s">
        <v>173</v>
      </c>
      <c r="Y8" s="7"/>
      <c r="Z8" s="7"/>
      <c r="AA8" s="7"/>
      <c r="AB8" s="6">
        <v>2</v>
      </c>
      <c r="AC8" s="8"/>
      <c r="AD8" s="8"/>
      <c r="AE8" s="6">
        <v>0</v>
      </c>
      <c r="AF8" s="6">
        <v>20</v>
      </c>
      <c r="AG8" s="8"/>
      <c r="AH8" s="8"/>
      <c r="AI8" s="7"/>
      <c r="AK8" s="6" t="s">
        <v>48</v>
      </c>
      <c r="AL8" s="6" t="s">
        <v>39</v>
      </c>
    </row>
    <row r="9" spans="1:38" s="4" customFormat="1" ht="18" customHeight="1">
      <c r="B9" s="5"/>
      <c r="C9" s="6" t="s">
        <v>68</v>
      </c>
      <c r="D9" s="6" t="s">
        <v>68</v>
      </c>
      <c r="E9" s="6">
        <v>2</v>
      </c>
      <c r="F9" s="6"/>
      <c r="G9" s="6"/>
      <c r="H9" s="6"/>
      <c r="I9" s="6"/>
      <c r="J9" s="6"/>
      <c r="K9" s="41" t="s">
        <v>128</v>
      </c>
      <c r="L9" s="40" t="s">
        <v>80</v>
      </c>
      <c r="M9" s="7" t="s">
        <v>66</v>
      </c>
      <c r="N9" s="7"/>
      <c r="O9" s="7"/>
      <c r="P9" s="7"/>
      <c r="Q9" s="7"/>
      <c r="R9" s="7"/>
      <c r="S9" s="7"/>
      <c r="T9" s="59">
        <v>18</v>
      </c>
      <c r="U9" s="18">
        <v>1</v>
      </c>
      <c r="V9" s="18">
        <v>1</v>
      </c>
      <c r="W9" s="6">
        <v>1</v>
      </c>
      <c r="X9" s="6" t="s">
        <v>173</v>
      </c>
      <c r="Y9" s="7"/>
      <c r="Z9" s="7"/>
      <c r="AA9" s="7"/>
      <c r="AB9" s="6">
        <v>36</v>
      </c>
      <c r="AC9" s="8"/>
      <c r="AD9" s="8"/>
      <c r="AE9" s="6">
        <v>0</v>
      </c>
      <c r="AF9" s="6">
        <v>660</v>
      </c>
      <c r="AG9" s="8"/>
      <c r="AH9" s="8"/>
      <c r="AI9" s="7"/>
      <c r="AK9" s="6"/>
      <c r="AL9" s="6" t="s">
        <v>40</v>
      </c>
    </row>
    <row r="10" spans="1:38" s="4" customFormat="1" ht="18" customHeight="1">
      <c r="B10" s="5"/>
      <c r="C10" s="6" t="s">
        <v>68</v>
      </c>
      <c r="D10" s="6" t="s">
        <v>68</v>
      </c>
      <c r="E10" s="6">
        <v>2</v>
      </c>
      <c r="F10" s="6"/>
      <c r="G10" s="6"/>
      <c r="H10" s="6"/>
      <c r="I10" s="6"/>
      <c r="J10" s="6">
        <v>1</v>
      </c>
      <c r="K10" s="41" t="s">
        <v>129</v>
      </c>
      <c r="L10" s="40" t="s">
        <v>81</v>
      </c>
      <c r="M10" s="7"/>
      <c r="N10" s="7"/>
      <c r="O10" s="7"/>
      <c r="P10" s="7"/>
      <c r="Q10" s="7"/>
      <c r="R10" s="7" t="s">
        <v>50</v>
      </c>
      <c r="S10" s="7"/>
      <c r="T10" s="59">
        <v>1</v>
      </c>
      <c r="U10" s="18">
        <v>1</v>
      </c>
      <c r="V10" s="18">
        <v>1</v>
      </c>
      <c r="W10" s="6">
        <v>1</v>
      </c>
      <c r="X10" s="6" t="s">
        <v>173</v>
      </c>
      <c r="Y10" s="7"/>
      <c r="Z10" s="7"/>
      <c r="AA10" s="7"/>
      <c r="AB10" s="6">
        <v>2</v>
      </c>
      <c r="AC10" s="8"/>
      <c r="AD10" s="8"/>
      <c r="AE10" s="6">
        <v>0</v>
      </c>
      <c r="AF10" s="6">
        <v>10</v>
      </c>
      <c r="AG10" s="8"/>
      <c r="AH10" s="8"/>
      <c r="AI10" s="7"/>
      <c r="AK10" s="6"/>
      <c r="AL10" s="6" t="s">
        <v>41</v>
      </c>
    </row>
    <row r="11" spans="1:38" s="4" customFormat="1" ht="18" customHeight="1">
      <c r="B11" s="5"/>
      <c r="C11" s="6" t="s">
        <v>68</v>
      </c>
      <c r="D11" s="6" t="s">
        <v>68</v>
      </c>
      <c r="E11" s="6">
        <v>2</v>
      </c>
      <c r="F11" s="6">
        <v>1</v>
      </c>
      <c r="G11" s="6"/>
      <c r="H11" s="6"/>
      <c r="I11" s="6"/>
      <c r="J11" s="6"/>
      <c r="K11" s="41" t="s">
        <v>130</v>
      </c>
      <c r="L11" s="40" t="s">
        <v>82</v>
      </c>
      <c r="M11" s="7"/>
      <c r="N11" s="7" t="s">
        <v>21</v>
      </c>
      <c r="O11" s="7"/>
      <c r="P11" s="7"/>
      <c r="Q11" s="7"/>
      <c r="R11" s="7"/>
      <c r="S11" s="7"/>
      <c r="T11" s="59">
        <v>17</v>
      </c>
      <c r="U11" s="18">
        <v>1</v>
      </c>
      <c r="V11" s="18">
        <v>1</v>
      </c>
      <c r="W11" s="6">
        <v>1</v>
      </c>
      <c r="X11" s="6" t="s">
        <v>173</v>
      </c>
      <c r="Y11" s="7"/>
      <c r="Z11" s="7"/>
      <c r="AA11" s="7"/>
      <c r="AB11" s="6">
        <v>34</v>
      </c>
      <c r="AC11" s="8"/>
      <c r="AD11" s="8"/>
      <c r="AE11" s="6">
        <v>0</v>
      </c>
      <c r="AF11" s="6">
        <v>650</v>
      </c>
      <c r="AG11" s="8"/>
      <c r="AH11" s="8"/>
      <c r="AI11" s="7"/>
      <c r="AK11" s="6"/>
      <c r="AL11" s="6" t="s">
        <v>42</v>
      </c>
    </row>
    <row r="12" spans="1:38" s="4" customFormat="1" ht="18" customHeight="1">
      <c r="B12" s="5"/>
      <c r="C12" s="6" t="s">
        <v>68</v>
      </c>
      <c r="D12" s="6" t="s">
        <v>68</v>
      </c>
      <c r="E12" s="6">
        <v>2</v>
      </c>
      <c r="F12" s="6">
        <v>1</v>
      </c>
      <c r="G12" s="6"/>
      <c r="H12" s="6"/>
      <c r="I12" s="6"/>
      <c r="J12" s="6">
        <v>1</v>
      </c>
      <c r="K12" s="41" t="s">
        <v>131</v>
      </c>
      <c r="L12" s="40" t="s">
        <v>83</v>
      </c>
      <c r="M12" s="7"/>
      <c r="N12" s="7"/>
      <c r="O12" s="7"/>
      <c r="P12" s="7"/>
      <c r="Q12" s="7"/>
      <c r="R12" s="7" t="s">
        <v>51</v>
      </c>
      <c r="S12" s="7"/>
      <c r="T12" s="59">
        <v>1</v>
      </c>
      <c r="U12" s="18">
        <v>1</v>
      </c>
      <c r="V12" s="18">
        <v>1</v>
      </c>
      <c r="W12" s="6">
        <v>1</v>
      </c>
      <c r="X12" s="6" t="s">
        <v>173</v>
      </c>
      <c r="Y12" s="7"/>
      <c r="Z12" s="7"/>
      <c r="AA12" s="7"/>
      <c r="AB12" s="6">
        <v>2</v>
      </c>
      <c r="AC12" s="8"/>
      <c r="AD12" s="8"/>
      <c r="AE12" s="6">
        <v>0</v>
      </c>
      <c r="AF12" s="6">
        <v>20</v>
      </c>
      <c r="AG12" s="8"/>
      <c r="AH12" s="8"/>
      <c r="AI12" s="7"/>
      <c r="AK12" s="6"/>
      <c r="AL12" s="6" t="s">
        <v>43</v>
      </c>
    </row>
    <row r="13" spans="1:38" s="4" customFormat="1" ht="18" customHeight="1">
      <c r="B13" s="5"/>
      <c r="C13" s="6" t="s">
        <v>68</v>
      </c>
      <c r="D13" s="6" t="s">
        <v>68</v>
      </c>
      <c r="E13" s="6">
        <v>2</v>
      </c>
      <c r="F13" s="6">
        <v>1</v>
      </c>
      <c r="G13" s="6"/>
      <c r="H13" s="6"/>
      <c r="I13" s="6"/>
      <c r="J13" s="6">
        <v>2</v>
      </c>
      <c r="K13" s="41" t="s">
        <v>132</v>
      </c>
      <c r="L13" s="40" t="s">
        <v>84</v>
      </c>
      <c r="M13" s="7"/>
      <c r="N13" s="7"/>
      <c r="O13" s="7"/>
      <c r="P13" s="7"/>
      <c r="Q13" s="7"/>
      <c r="R13" s="7" t="s">
        <v>52</v>
      </c>
      <c r="S13" s="7"/>
      <c r="T13" s="59">
        <v>1</v>
      </c>
      <c r="U13" s="18">
        <v>1</v>
      </c>
      <c r="V13" s="18">
        <v>1</v>
      </c>
      <c r="W13" s="6">
        <v>1</v>
      </c>
      <c r="X13" s="6" t="s">
        <v>173</v>
      </c>
      <c r="Y13" s="7"/>
      <c r="Z13" s="7"/>
      <c r="AA13" s="7"/>
      <c r="AB13" s="6">
        <v>2</v>
      </c>
      <c r="AC13" s="8"/>
      <c r="AD13" s="8"/>
      <c r="AE13" s="6">
        <v>0</v>
      </c>
      <c r="AF13" s="6">
        <v>20</v>
      </c>
      <c r="AG13" s="8"/>
      <c r="AH13" s="8"/>
      <c r="AI13" s="7"/>
      <c r="AK13" s="6"/>
      <c r="AL13" s="6" t="s">
        <v>44</v>
      </c>
    </row>
    <row r="14" spans="1:38" s="4" customFormat="1" ht="18" customHeight="1">
      <c r="B14" s="5"/>
      <c r="C14" s="6" t="s">
        <v>68</v>
      </c>
      <c r="D14" s="6" t="s">
        <v>68</v>
      </c>
      <c r="E14" s="6">
        <v>2</v>
      </c>
      <c r="F14" s="6">
        <v>1</v>
      </c>
      <c r="G14" s="6">
        <v>1</v>
      </c>
      <c r="H14" s="6"/>
      <c r="I14" s="6"/>
      <c r="J14" s="6"/>
      <c r="K14" s="41" t="s">
        <v>133</v>
      </c>
      <c r="L14" s="40" t="s">
        <v>85</v>
      </c>
      <c r="M14" s="7"/>
      <c r="N14" s="7"/>
      <c r="O14" s="7" t="s">
        <v>22</v>
      </c>
      <c r="P14" s="7"/>
      <c r="Q14" s="7"/>
      <c r="R14" s="7"/>
      <c r="S14" s="7"/>
      <c r="T14" s="59">
        <v>15</v>
      </c>
      <c r="U14" s="18">
        <v>1</v>
      </c>
      <c r="V14" s="18">
        <v>1</v>
      </c>
      <c r="W14" s="6">
        <v>1</v>
      </c>
      <c r="X14" s="6" t="s">
        <v>173</v>
      </c>
      <c r="Y14" s="7"/>
      <c r="Z14" s="7"/>
      <c r="AA14" s="7"/>
      <c r="AB14" s="6">
        <v>30</v>
      </c>
      <c r="AC14" s="8"/>
      <c r="AD14" s="8"/>
      <c r="AE14" s="6">
        <v>0</v>
      </c>
      <c r="AF14" s="6">
        <v>610</v>
      </c>
      <c r="AG14" s="8"/>
      <c r="AH14" s="8"/>
      <c r="AI14" s="7"/>
      <c r="AK14" s="6"/>
      <c r="AL14" s="6" t="s">
        <v>45</v>
      </c>
    </row>
    <row r="15" spans="1:38" s="4" customFormat="1" ht="18" customHeight="1">
      <c r="B15" s="5"/>
      <c r="C15" s="6" t="s">
        <v>68</v>
      </c>
      <c r="D15" s="6" t="s">
        <v>68</v>
      </c>
      <c r="E15" s="6">
        <v>2</v>
      </c>
      <c r="F15" s="6">
        <v>1</v>
      </c>
      <c r="G15" s="6">
        <v>1</v>
      </c>
      <c r="H15" s="6"/>
      <c r="I15" s="6"/>
      <c r="J15" s="6">
        <v>1</v>
      </c>
      <c r="K15" s="41" t="s">
        <v>134</v>
      </c>
      <c r="L15" s="40" t="s">
        <v>86</v>
      </c>
      <c r="M15" s="7"/>
      <c r="N15" s="7"/>
      <c r="O15" s="7"/>
      <c r="P15" s="7"/>
      <c r="Q15" s="7"/>
      <c r="R15" s="7" t="s">
        <v>53</v>
      </c>
      <c r="S15" s="7"/>
      <c r="T15" s="59">
        <v>1</v>
      </c>
      <c r="U15" s="18">
        <v>1</v>
      </c>
      <c r="V15" s="18">
        <v>1</v>
      </c>
      <c r="W15" s="6">
        <v>1</v>
      </c>
      <c r="X15" s="6" t="s">
        <v>173</v>
      </c>
      <c r="Y15" s="7"/>
      <c r="Z15" s="7"/>
      <c r="AA15" s="7"/>
      <c r="AB15" s="6">
        <v>2</v>
      </c>
      <c r="AC15" s="8"/>
      <c r="AD15" s="8"/>
      <c r="AE15" s="6">
        <v>0</v>
      </c>
      <c r="AF15" s="6">
        <v>30</v>
      </c>
      <c r="AG15" s="8"/>
      <c r="AH15" s="8"/>
      <c r="AI15" s="7"/>
      <c r="AK15" s="6"/>
      <c r="AL15" s="6"/>
    </row>
    <row r="16" spans="1:38" s="4" customFormat="1" ht="18" customHeight="1">
      <c r="B16" s="5"/>
      <c r="C16" s="6" t="s">
        <v>68</v>
      </c>
      <c r="D16" s="6" t="s">
        <v>68</v>
      </c>
      <c r="E16" s="6">
        <v>2</v>
      </c>
      <c r="F16" s="6">
        <v>1</v>
      </c>
      <c r="G16" s="6">
        <v>1</v>
      </c>
      <c r="H16" s="6"/>
      <c r="I16" s="6"/>
      <c r="J16" s="6">
        <v>2</v>
      </c>
      <c r="K16" s="41" t="s">
        <v>135</v>
      </c>
      <c r="L16" s="40" t="s">
        <v>87</v>
      </c>
      <c r="M16" s="7"/>
      <c r="N16" s="7"/>
      <c r="O16" s="7"/>
      <c r="P16" s="7"/>
      <c r="Q16" s="7"/>
      <c r="R16" s="7" t="s">
        <v>54</v>
      </c>
      <c r="S16" s="7"/>
      <c r="T16" s="59">
        <v>1</v>
      </c>
      <c r="U16" s="18">
        <v>1</v>
      </c>
      <c r="V16" s="18">
        <v>1</v>
      </c>
      <c r="W16" s="6">
        <v>1</v>
      </c>
      <c r="X16" s="6" t="s">
        <v>173</v>
      </c>
      <c r="Y16" s="7"/>
      <c r="Z16" s="7"/>
      <c r="AA16" s="7"/>
      <c r="AB16" s="6">
        <v>2</v>
      </c>
      <c r="AC16" s="8"/>
      <c r="AD16" s="8"/>
      <c r="AE16" s="6">
        <v>0</v>
      </c>
      <c r="AF16" s="6">
        <v>30</v>
      </c>
      <c r="AG16" s="8"/>
      <c r="AH16" s="8"/>
      <c r="AI16" s="7"/>
      <c r="AK16" s="6"/>
      <c r="AL16" s="6"/>
    </row>
    <row r="17" spans="2:38" s="4" customFormat="1" ht="18" customHeight="1">
      <c r="B17" s="5"/>
      <c r="C17" s="6" t="s">
        <v>68</v>
      </c>
      <c r="D17" s="6" t="s">
        <v>68</v>
      </c>
      <c r="E17" s="6">
        <v>2</v>
      </c>
      <c r="F17" s="6">
        <v>1</v>
      </c>
      <c r="G17" s="6">
        <v>1</v>
      </c>
      <c r="H17" s="6"/>
      <c r="I17" s="6"/>
      <c r="J17" s="6">
        <v>3</v>
      </c>
      <c r="K17" s="41" t="s">
        <v>136</v>
      </c>
      <c r="L17" s="40" t="s">
        <v>88</v>
      </c>
      <c r="M17" s="7"/>
      <c r="N17" s="7"/>
      <c r="O17" s="7"/>
      <c r="P17" s="7"/>
      <c r="Q17" s="7"/>
      <c r="R17" s="7" t="s">
        <v>55</v>
      </c>
      <c r="S17" s="7"/>
      <c r="T17" s="59">
        <v>1</v>
      </c>
      <c r="U17" s="18">
        <v>1</v>
      </c>
      <c r="V17" s="18">
        <v>1</v>
      </c>
      <c r="W17" s="6">
        <v>1</v>
      </c>
      <c r="X17" s="6" t="s">
        <v>173</v>
      </c>
      <c r="Y17" s="7"/>
      <c r="Z17" s="7"/>
      <c r="AA17" s="7"/>
      <c r="AB17" s="6">
        <v>2</v>
      </c>
      <c r="AC17" s="8"/>
      <c r="AD17" s="8"/>
      <c r="AE17" s="6">
        <v>0</v>
      </c>
      <c r="AF17" s="6">
        <v>30</v>
      </c>
      <c r="AG17" s="8"/>
      <c r="AH17" s="8"/>
      <c r="AI17" s="7"/>
      <c r="AK17" s="6"/>
      <c r="AL17" s="6"/>
    </row>
    <row r="18" spans="2:38" s="4" customFormat="1" ht="18" customHeight="1">
      <c r="B18" s="5"/>
      <c r="C18" s="6" t="s">
        <v>68</v>
      </c>
      <c r="D18" s="6" t="s">
        <v>68</v>
      </c>
      <c r="E18" s="6">
        <v>2</v>
      </c>
      <c r="F18" s="6">
        <v>1</v>
      </c>
      <c r="G18" s="6">
        <v>1</v>
      </c>
      <c r="H18" s="6">
        <v>1</v>
      </c>
      <c r="I18" s="6"/>
      <c r="J18" s="6"/>
      <c r="K18" s="41" t="s">
        <v>137</v>
      </c>
      <c r="L18" s="40" t="s">
        <v>89</v>
      </c>
      <c r="M18" s="7"/>
      <c r="N18" s="7"/>
      <c r="O18" s="7"/>
      <c r="P18" s="7" t="s">
        <v>23</v>
      </c>
      <c r="Q18" s="7"/>
      <c r="R18" s="7"/>
      <c r="S18" s="7"/>
      <c r="T18" s="59">
        <v>1</v>
      </c>
      <c r="U18" s="18">
        <v>1</v>
      </c>
      <c r="V18" s="18">
        <v>1</v>
      </c>
      <c r="W18" s="6">
        <v>1</v>
      </c>
      <c r="X18" s="6" t="s">
        <v>173</v>
      </c>
      <c r="Y18" s="7"/>
      <c r="Z18" s="7"/>
      <c r="AA18" s="7"/>
      <c r="AB18" s="6">
        <v>2</v>
      </c>
      <c r="AC18" s="8"/>
      <c r="AD18" s="8"/>
      <c r="AE18" s="6">
        <v>0</v>
      </c>
      <c r="AF18" s="6">
        <v>10</v>
      </c>
      <c r="AG18" s="8"/>
      <c r="AH18" s="8"/>
      <c r="AI18" s="7"/>
      <c r="AK18" s="6"/>
      <c r="AL18" s="6"/>
    </row>
    <row r="19" spans="2:38" s="4" customFormat="1" ht="18" customHeight="1">
      <c r="B19" s="5"/>
      <c r="C19" s="6" t="s">
        <v>68</v>
      </c>
      <c r="D19" s="6" t="s">
        <v>68</v>
      </c>
      <c r="E19" s="6">
        <v>2</v>
      </c>
      <c r="F19" s="6">
        <v>1</v>
      </c>
      <c r="G19" s="6">
        <v>1</v>
      </c>
      <c r="H19" s="6">
        <v>1</v>
      </c>
      <c r="I19" s="6"/>
      <c r="J19" s="6">
        <v>1</v>
      </c>
      <c r="K19" s="41" t="s">
        <v>138</v>
      </c>
      <c r="L19" s="40" t="s">
        <v>90</v>
      </c>
      <c r="M19" s="7"/>
      <c r="N19" s="7"/>
      <c r="O19" s="7"/>
      <c r="P19" s="7"/>
      <c r="Q19" s="7"/>
      <c r="R19" s="7" t="s">
        <v>57</v>
      </c>
      <c r="S19" s="7"/>
      <c r="T19" s="59">
        <v>1</v>
      </c>
      <c r="U19" s="18">
        <v>1</v>
      </c>
      <c r="V19" s="18">
        <v>1</v>
      </c>
      <c r="W19" s="6">
        <v>1</v>
      </c>
      <c r="X19" s="6" t="s">
        <v>173</v>
      </c>
      <c r="Y19" s="7"/>
      <c r="Z19" s="7"/>
      <c r="AA19" s="7"/>
      <c r="AB19" s="6">
        <v>2</v>
      </c>
      <c r="AC19" s="8"/>
      <c r="AD19" s="8"/>
      <c r="AE19" s="6">
        <v>0</v>
      </c>
      <c r="AF19" s="6">
        <v>10</v>
      </c>
      <c r="AG19" s="8"/>
      <c r="AH19" s="8"/>
      <c r="AI19" s="7"/>
      <c r="AK19" s="6"/>
      <c r="AL19" s="6"/>
    </row>
    <row r="20" spans="2:38" s="4" customFormat="1" ht="18" customHeight="1">
      <c r="B20" s="5"/>
      <c r="C20" s="6" t="s">
        <v>68</v>
      </c>
      <c r="D20" s="6" t="s">
        <v>68</v>
      </c>
      <c r="E20" s="6">
        <v>2</v>
      </c>
      <c r="F20" s="6">
        <v>1</v>
      </c>
      <c r="G20" s="6">
        <v>1</v>
      </c>
      <c r="H20" s="6">
        <v>2</v>
      </c>
      <c r="I20" s="6"/>
      <c r="J20" s="6"/>
      <c r="K20" s="41" t="s">
        <v>139</v>
      </c>
      <c r="L20" s="40" t="s">
        <v>91</v>
      </c>
      <c r="M20" s="7"/>
      <c r="N20" s="7"/>
      <c r="O20" s="7"/>
      <c r="P20" s="7" t="s">
        <v>23</v>
      </c>
      <c r="Q20" s="7"/>
      <c r="R20" s="7"/>
      <c r="S20" s="7"/>
      <c r="T20" s="59">
        <v>11</v>
      </c>
      <c r="U20" s="18">
        <v>1</v>
      </c>
      <c r="V20" s="18">
        <v>1</v>
      </c>
      <c r="W20" s="6">
        <v>1</v>
      </c>
      <c r="X20" s="6" t="s">
        <v>173</v>
      </c>
      <c r="Y20" s="7"/>
      <c r="Z20" s="7"/>
      <c r="AA20" s="7"/>
      <c r="AB20" s="6">
        <v>22</v>
      </c>
      <c r="AC20" s="8"/>
      <c r="AD20" s="8"/>
      <c r="AE20" s="6">
        <v>0</v>
      </c>
      <c r="AF20" s="6">
        <v>510</v>
      </c>
      <c r="AG20" s="8"/>
      <c r="AH20" s="8"/>
      <c r="AI20" s="7"/>
      <c r="AK20" s="6"/>
      <c r="AL20" s="6"/>
    </row>
    <row r="21" spans="2:38" s="4" customFormat="1" ht="18" customHeight="1">
      <c r="B21" s="5"/>
      <c r="C21" s="6" t="s">
        <v>68</v>
      </c>
      <c r="D21" s="6" t="s">
        <v>68</v>
      </c>
      <c r="E21" s="6">
        <v>2</v>
      </c>
      <c r="F21" s="6">
        <v>1</v>
      </c>
      <c r="G21" s="6">
        <v>1</v>
      </c>
      <c r="H21" s="6">
        <v>2</v>
      </c>
      <c r="I21" s="6"/>
      <c r="J21" s="6">
        <v>1</v>
      </c>
      <c r="K21" s="41" t="s">
        <v>140</v>
      </c>
      <c r="L21" s="40" t="s">
        <v>92</v>
      </c>
      <c r="M21" s="7"/>
      <c r="N21" s="7"/>
      <c r="O21" s="7"/>
      <c r="P21" s="7"/>
      <c r="Q21" s="7"/>
      <c r="R21" s="7" t="s">
        <v>56</v>
      </c>
      <c r="S21" s="7"/>
      <c r="T21" s="59">
        <v>1</v>
      </c>
      <c r="U21" s="18">
        <v>1</v>
      </c>
      <c r="V21" s="18">
        <v>1</v>
      </c>
      <c r="W21" s="6">
        <v>1</v>
      </c>
      <c r="X21" s="6" t="s">
        <v>173</v>
      </c>
      <c r="Y21" s="7"/>
      <c r="Z21" s="7"/>
      <c r="AA21" s="7"/>
      <c r="AB21" s="6">
        <v>2</v>
      </c>
      <c r="AC21" s="8"/>
      <c r="AD21" s="8"/>
      <c r="AE21" s="6">
        <v>0</v>
      </c>
      <c r="AF21" s="6">
        <v>40</v>
      </c>
      <c r="AG21" s="8"/>
      <c r="AH21" s="8"/>
      <c r="AI21" s="7"/>
      <c r="AK21" s="6"/>
      <c r="AL21" s="6"/>
    </row>
    <row r="22" spans="2:38" s="4" customFormat="1" ht="18" customHeight="1">
      <c r="B22" s="5"/>
      <c r="C22" s="6" t="s">
        <v>68</v>
      </c>
      <c r="D22" s="6" t="s">
        <v>68</v>
      </c>
      <c r="E22" s="6">
        <v>2</v>
      </c>
      <c r="F22" s="6">
        <v>1</v>
      </c>
      <c r="G22" s="6">
        <v>1</v>
      </c>
      <c r="H22" s="6">
        <v>2</v>
      </c>
      <c r="I22" s="6"/>
      <c r="J22" s="6">
        <v>2</v>
      </c>
      <c r="K22" s="41" t="s">
        <v>141</v>
      </c>
      <c r="L22" s="40" t="s">
        <v>93</v>
      </c>
      <c r="M22" s="7"/>
      <c r="N22" s="7"/>
      <c r="O22" s="7"/>
      <c r="P22" s="7"/>
      <c r="Q22" s="7"/>
      <c r="R22" s="7" t="s">
        <v>57</v>
      </c>
      <c r="S22" s="7"/>
      <c r="T22" s="59">
        <v>1</v>
      </c>
      <c r="U22" s="18">
        <v>1</v>
      </c>
      <c r="V22" s="18">
        <v>1</v>
      </c>
      <c r="W22" s="6">
        <v>1</v>
      </c>
      <c r="X22" s="6" t="s">
        <v>173</v>
      </c>
      <c r="Y22" s="7"/>
      <c r="Z22" s="7"/>
      <c r="AA22" s="7"/>
      <c r="AB22" s="6">
        <v>2</v>
      </c>
      <c r="AC22" s="8"/>
      <c r="AD22" s="8"/>
      <c r="AE22" s="6">
        <v>0</v>
      </c>
      <c r="AF22" s="6">
        <v>40</v>
      </c>
      <c r="AG22" s="8"/>
      <c r="AH22" s="8"/>
      <c r="AI22" s="7"/>
      <c r="AK22" s="6"/>
      <c r="AL22" s="6"/>
    </row>
    <row r="23" spans="2:38" s="4" customFormat="1" ht="18" customHeight="1">
      <c r="B23" s="5"/>
      <c r="C23" s="6" t="s">
        <v>68</v>
      </c>
      <c r="D23" s="6" t="s">
        <v>68</v>
      </c>
      <c r="E23" s="6">
        <v>2</v>
      </c>
      <c r="F23" s="6">
        <v>1</v>
      </c>
      <c r="G23" s="6">
        <v>1</v>
      </c>
      <c r="H23" s="6">
        <v>2</v>
      </c>
      <c r="I23" s="6"/>
      <c r="J23" s="6">
        <v>3</v>
      </c>
      <c r="K23" s="41" t="s">
        <v>142</v>
      </c>
      <c r="L23" s="40" t="s">
        <v>94</v>
      </c>
      <c r="M23" s="7"/>
      <c r="N23" s="7"/>
      <c r="O23" s="7"/>
      <c r="P23" s="7"/>
      <c r="Q23" s="7"/>
      <c r="R23" s="7" t="s">
        <v>58</v>
      </c>
      <c r="S23" s="7"/>
      <c r="T23" s="59">
        <v>1</v>
      </c>
      <c r="U23" s="18">
        <v>1</v>
      </c>
      <c r="V23" s="18">
        <v>1</v>
      </c>
      <c r="W23" s="6">
        <v>1</v>
      </c>
      <c r="X23" s="6" t="s">
        <v>173</v>
      </c>
      <c r="Y23" s="7"/>
      <c r="Z23" s="7"/>
      <c r="AA23" s="7"/>
      <c r="AB23" s="6">
        <v>2</v>
      </c>
      <c r="AC23" s="8"/>
      <c r="AD23" s="8"/>
      <c r="AE23" s="6">
        <v>0</v>
      </c>
      <c r="AF23" s="6">
        <v>40</v>
      </c>
      <c r="AG23" s="8"/>
      <c r="AH23" s="8"/>
      <c r="AI23" s="7"/>
      <c r="AK23" s="6"/>
      <c r="AL23" s="6"/>
    </row>
    <row r="24" spans="2:38" s="4" customFormat="1" ht="18" customHeight="1">
      <c r="B24" s="5"/>
      <c r="C24" s="6" t="s">
        <v>68</v>
      </c>
      <c r="D24" s="6" t="s">
        <v>68</v>
      </c>
      <c r="E24" s="6">
        <v>2</v>
      </c>
      <c r="F24" s="6">
        <v>1</v>
      </c>
      <c r="G24" s="6">
        <v>1</v>
      </c>
      <c r="H24" s="6">
        <v>2</v>
      </c>
      <c r="I24" s="6"/>
      <c r="J24" s="6">
        <v>4</v>
      </c>
      <c r="K24" s="41" t="s">
        <v>143</v>
      </c>
      <c r="L24" s="40" t="s">
        <v>95</v>
      </c>
      <c r="M24" s="7"/>
      <c r="N24" s="7"/>
      <c r="O24" s="7"/>
      <c r="P24" s="7"/>
      <c r="Q24" s="7"/>
      <c r="R24" s="7" t="s">
        <v>49</v>
      </c>
      <c r="S24" s="7"/>
      <c r="T24" s="59">
        <v>1</v>
      </c>
      <c r="U24" s="18">
        <v>1</v>
      </c>
      <c r="V24" s="18">
        <v>1</v>
      </c>
      <c r="W24" s="6">
        <v>1</v>
      </c>
      <c r="X24" s="6" t="s">
        <v>173</v>
      </c>
      <c r="Y24" s="7"/>
      <c r="Z24" s="7"/>
      <c r="AA24" s="7"/>
      <c r="AB24" s="6">
        <v>2</v>
      </c>
      <c r="AC24" s="8"/>
      <c r="AD24" s="8"/>
      <c r="AE24" s="6">
        <v>0</v>
      </c>
      <c r="AF24" s="6">
        <v>40</v>
      </c>
      <c r="AG24" s="8"/>
      <c r="AH24" s="8"/>
      <c r="AI24" s="7"/>
      <c r="AK24" s="6"/>
      <c r="AL24" s="6"/>
    </row>
    <row r="25" spans="2:38" s="4" customFormat="1" ht="18" customHeight="1">
      <c r="B25" s="5"/>
      <c r="C25" s="6" t="s">
        <v>68</v>
      </c>
      <c r="D25" s="6" t="s">
        <v>68</v>
      </c>
      <c r="E25" s="6">
        <v>2</v>
      </c>
      <c r="F25" s="6">
        <v>1</v>
      </c>
      <c r="G25" s="6">
        <v>1</v>
      </c>
      <c r="H25" s="6">
        <v>2</v>
      </c>
      <c r="I25" s="6">
        <v>1</v>
      </c>
      <c r="J25" s="6"/>
      <c r="K25" s="41" t="s">
        <v>144</v>
      </c>
      <c r="L25" s="40" t="s">
        <v>96</v>
      </c>
      <c r="M25" s="7"/>
      <c r="N25" s="7"/>
      <c r="O25" s="7"/>
      <c r="P25" s="7"/>
      <c r="Q25" s="7" t="s">
        <v>35</v>
      </c>
      <c r="R25" s="7"/>
      <c r="S25" s="7"/>
      <c r="T25" s="59">
        <v>5</v>
      </c>
      <c r="U25" s="18">
        <v>1</v>
      </c>
      <c r="V25" s="18">
        <v>1</v>
      </c>
      <c r="W25" s="6">
        <v>1</v>
      </c>
      <c r="X25" s="6" t="s">
        <v>173</v>
      </c>
      <c r="Y25" s="7"/>
      <c r="Z25" s="7"/>
      <c r="AA25" s="7"/>
      <c r="AB25" s="6">
        <v>10</v>
      </c>
      <c r="AC25" s="8"/>
      <c r="AD25" s="8"/>
      <c r="AE25" s="6">
        <v>0</v>
      </c>
      <c r="AF25" s="6">
        <v>250</v>
      </c>
      <c r="AG25" s="8"/>
      <c r="AH25" s="8"/>
      <c r="AI25" s="7"/>
      <c r="AK25" s="6"/>
      <c r="AL25" s="6"/>
    </row>
    <row r="26" spans="2:38" s="4" customFormat="1" ht="18" customHeight="1">
      <c r="B26" s="5"/>
      <c r="C26" s="6" t="s">
        <v>68</v>
      </c>
      <c r="D26" s="6" t="s">
        <v>68</v>
      </c>
      <c r="E26" s="6">
        <v>2</v>
      </c>
      <c r="F26" s="6">
        <v>1</v>
      </c>
      <c r="G26" s="6">
        <v>1</v>
      </c>
      <c r="H26" s="6">
        <v>2</v>
      </c>
      <c r="I26" s="6">
        <v>1</v>
      </c>
      <c r="J26" s="6">
        <v>1</v>
      </c>
      <c r="K26" s="41" t="s">
        <v>145</v>
      </c>
      <c r="L26" s="40" t="s">
        <v>97</v>
      </c>
      <c r="M26" s="7"/>
      <c r="N26" s="7"/>
      <c r="O26" s="7"/>
      <c r="P26" s="7"/>
      <c r="Q26" s="7"/>
      <c r="R26" s="7" t="s">
        <v>59</v>
      </c>
      <c r="S26" s="7"/>
      <c r="T26" s="59">
        <v>1</v>
      </c>
      <c r="U26" s="18">
        <v>1</v>
      </c>
      <c r="V26" s="18">
        <v>1</v>
      </c>
      <c r="W26" s="6">
        <v>1</v>
      </c>
      <c r="X26" s="6" t="s">
        <v>173</v>
      </c>
      <c r="Y26" s="7"/>
      <c r="Z26" s="7"/>
      <c r="AA26" s="7"/>
      <c r="AB26" s="6">
        <v>2</v>
      </c>
      <c r="AC26" s="8"/>
      <c r="AD26" s="8"/>
      <c r="AE26" s="6">
        <v>0</v>
      </c>
      <c r="AF26" s="6">
        <v>50</v>
      </c>
      <c r="AG26" s="8"/>
      <c r="AH26" s="8"/>
      <c r="AI26" s="7"/>
      <c r="AK26" s="6"/>
      <c r="AL26" s="6"/>
    </row>
    <row r="27" spans="2:38" s="4" customFormat="1" ht="18" customHeight="1">
      <c r="B27" s="5"/>
      <c r="C27" s="6" t="s">
        <v>68</v>
      </c>
      <c r="D27" s="6" t="s">
        <v>68</v>
      </c>
      <c r="E27" s="6">
        <v>2</v>
      </c>
      <c r="F27" s="6">
        <v>1</v>
      </c>
      <c r="G27" s="6">
        <v>1</v>
      </c>
      <c r="H27" s="6">
        <v>2</v>
      </c>
      <c r="I27" s="6">
        <v>1</v>
      </c>
      <c r="J27" s="6">
        <v>2</v>
      </c>
      <c r="K27" s="41" t="s">
        <v>146</v>
      </c>
      <c r="L27" s="40" t="s">
        <v>98</v>
      </c>
      <c r="M27" s="7"/>
      <c r="N27" s="7"/>
      <c r="O27" s="7"/>
      <c r="P27" s="7"/>
      <c r="Q27" s="7"/>
      <c r="R27" s="7" t="s">
        <v>60</v>
      </c>
      <c r="S27" s="7"/>
      <c r="T27" s="59">
        <v>1</v>
      </c>
      <c r="U27" s="18">
        <v>1</v>
      </c>
      <c r="V27" s="18">
        <v>1</v>
      </c>
      <c r="W27" s="6">
        <v>1</v>
      </c>
      <c r="X27" s="6" t="s">
        <v>173</v>
      </c>
      <c r="Y27" s="7"/>
      <c r="Z27" s="7"/>
      <c r="AA27" s="7"/>
      <c r="AB27" s="6">
        <v>2</v>
      </c>
      <c r="AC27" s="8"/>
      <c r="AD27" s="8"/>
      <c r="AE27" s="6">
        <v>0</v>
      </c>
      <c r="AF27" s="6">
        <v>50</v>
      </c>
      <c r="AG27" s="8"/>
      <c r="AH27" s="8"/>
      <c r="AI27" s="7"/>
      <c r="AK27" s="6"/>
      <c r="AL27" s="6"/>
    </row>
    <row r="28" spans="2:38" s="4" customFormat="1" ht="18" customHeight="1">
      <c r="B28" s="5"/>
      <c r="C28" s="6" t="s">
        <v>68</v>
      </c>
      <c r="D28" s="6" t="s">
        <v>68</v>
      </c>
      <c r="E28" s="6">
        <v>2</v>
      </c>
      <c r="F28" s="6">
        <v>1</v>
      </c>
      <c r="G28" s="6">
        <v>1</v>
      </c>
      <c r="H28" s="6">
        <v>2</v>
      </c>
      <c r="I28" s="6">
        <v>1</v>
      </c>
      <c r="J28" s="6">
        <v>3</v>
      </c>
      <c r="K28" s="41" t="s">
        <v>147</v>
      </c>
      <c r="L28" s="40" t="s">
        <v>99</v>
      </c>
      <c r="M28" s="7"/>
      <c r="N28" s="7"/>
      <c r="O28" s="7"/>
      <c r="P28" s="7"/>
      <c r="Q28" s="7"/>
      <c r="R28" s="7" t="s">
        <v>61</v>
      </c>
      <c r="S28" s="7"/>
      <c r="T28" s="59">
        <v>1</v>
      </c>
      <c r="U28" s="18">
        <v>1</v>
      </c>
      <c r="V28" s="18">
        <v>1</v>
      </c>
      <c r="W28" s="6">
        <v>1</v>
      </c>
      <c r="X28" s="6" t="s">
        <v>173</v>
      </c>
      <c r="Y28" s="7"/>
      <c r="Z28" s="7"/>
      <c r="AA28" s="7"/>
      <c r="AB28" s="6">
        <v>2</v>
      </c>
      <c r="AC28" s="8"/>
      <c r="AD28" s="8"/>
      <c r="AE28" s="6">
        <v>0</v>
      </c>
      <c r="AF28" s="6">
        <v>50</v>
      </c>
      <c r="AG28" s="8"/>
      <c r="AH28" s="8"/>
      <c r="AI28" s="7"/>
      <c r="AK28" s="6"/>
      <c r="AL28" s="6"/>
    </row>
    <row r="29" spans="2:38" s="4" customFormat="1" ht="18" customHeight="1">
      <c r="B29" s="5"/>
      <c r="C29" s="6" t="s">
        <v>68</v>
      </c>
      <c r="D29" s="6" t="s">
        <v>68</v>
      </c>
      <c r="E29" s="6">
        <v>2</v>
      </c>
      <c r="F29" s="6">
        <v>1</v>
      </c>
      <c r="G29" s="6">
        <v>1</v>
      </c>
      <c r="H29" s="6">
        <v>2</v>
      </c>
      <c r="I29" s="6">
        <v>1</v>
      </c>
      <c r="J29" s="6">
        <v>4</v>
      </c>
      <c r="K29" s="41" t="s">
        <v>148</v>
      </c>
      <c r="L29" s="40" t="s">
        <v>100</v>
      </c>
      <c r="M29" s="7"/>
      <c r="N29" s="7"/>
      <c r="O29" s="7"/>
      <c r="P29" s="7"/>
      <c r="Q29" s="7"/>
      <c r="R29" s="7" t="s">
        <v>62</v>
      </c>
      <c r="S29" s="7"/>
      <c r="T29" s="59">
        <v>1</v>
      </c>
      <c r="U29" s="18">
        <v>1</v>
      </c>
      <c r="V29" s="18">
        <v>1</v>
      </c>
      <c r="W29" s="6">
        <v>1</v>
      </c>
      <c r="X29" s="6" t="s">
        <v>173</v>
      </c>
      <c r="Y29" s="7"/>
      <c r="Z29" s="7"/>
      <c r="AA29" s="7"/>
      <c r="AB29" s="6">
        <v>2</v>
      </c>
      <c r="AC29" s="8"/>
      <c r="AD29" s="8"/>
      <c r="AE29" s="6">
        <v>0</v>
      </c>
      <c r="AF29" s="6">
        <v>50</v>
      </c>
      <c r="AG29" s="8"/>
      <c r="AH29" s="8"/>
      <c r="AI29" s="7"/>
      <c r="AK29" s="6"/>
      <c r="AL29" s="6"/>
    </row>
    <row r="30" spans="2:38" s="4" customFormat="1" ht="18" customHeight="1">
      <c r="B30" s="5"/>
      <c r="C30" s="6" t="s">
        <v>68</v>
      </c>
      <c r="D30" s="6" t="s">
        <v>68</v>
      </c>
      <c r="E30" s="6">
        <v>2</v>
      </c>
      <c r="F30" s="6">
        <v>1</v>
      </c>
      <c r="G30" s="6">
        <v>1</v>
      </c>
      <c r="H30" s="6">
        <v>2</v>
      </c>
      <c r="I30" s="6">
        <v>1</v>
      </c>
      <c r="J30" s="6">
        <v>5</v>
      </c>
      <c r="K30" s="41" t="s">
        <v>149</v>
      </c>
      <c r="L30" s="40" t="s">
        <v>101</v>
      </c>
      <c r="M30" s="7"/>
      <c r="N30" s="7"/>
      <c r="O30" s="7"/>
      <c r="P30" s="7"/>
      <c r="Q30" s="7"/>
      <c r="R30" s="7" t="s">
        <v>63</v>
      </c>
      <c r="S30" s="7"/>
      <c r="T30" s="59">
        <v>1</v>
      </c>
      <c r="U30" s="18">
        <v>1</v>
      </c>
      <c r="V30" s="18">
        <v>1</v>
      </c>
      <c r="W30" s="6">
        <v>1</v>
      </c>
      <c r="X30" s="6" t="s">
        <v>173</v>
      </c>
      <c r="Y30" s="7"/>
      <c r="Z30" s="7"/>
      <c r="AA30" s="7"/>
      <c r="AB30" s="6">
        <v>2</v>
      </c>
      <c r="AC30" s="8"/>
      <c r="AD30" s="8"/>
      <c r="AE30" s="6">
        <v>0</v>
      </c>
      <c r="AF30" s="6">
        <v>50</v>
      </c>
      <c r="AG30" s="8"/>
      <c r="AH30" s="8"/>
      <c r="AI30" s="7"/>
      <c r="AK30" s="6"/>
      <c r="AL30" s="6"/>
    </row>
    <row r="31" spans="2:38" s="4" customFormat="1" ht="18" customHeight="1">
      <c r="B31" s="5"/>
      <c r="C31" s="6" t="s">
        <v>68</v>
      </c>
      <c r="D31" s="6" t="s">
        <v>68</v>
      </c>
      <c r="E31" s="6">
        <v>2</v>
      </c>
      <c r="F31" s="6">
        <v>1</v>
      </c>
      <c r="G31" s="6">
        <v>1</v>
      </c>
      <c r="H31" s="6">
        <v>2</v>
      </c>
      <c r="I31" s="6">
        <v>2</v>
      </c>
      <c r="J31" s="6"/>
      <c r="K31" s="41" t="s">
        <v>150</v>
      </c>
      <c r="L31" s="40" t="s">
        <v>102</v>
      </c>
      <c r="M31" s="7"/>
      <c r="N31" s="7"/>
      <c r="O31" s="7"/>
      <c r="P31" s="7"/>
      <c r="Q31" s="7" t="s">
        <v>35</v>
      </c>
      <c r="R31" s="7"/>
      <c r="S31" s="7"/>
      <c r="T31" s="59">
        <v>2</v>
      </c>
      <c r="U31" s="18">
        <v>1</v>
      </c>
      <c r="V31" s="18">
        <v>1</v>
      </c>
      <c r="W31" s="6">
        <v>1</v>
      </c>
      <c r="X31" s="6" t="s">
        <v>173</v>
      </c>
      <c r="Y31" s="7"/>
      <c r="Z31" s="7"/>
      <c r="AA31" s="7"/>
      <c r="AB31" s="6">
        <v>4</v>
      </c>
      <c r="AC31" s="8"/>
      <c r="AD31" s="8"/>
      <c r="AE31" s="6">
        <v>0</v>
      </c>
      <c r="AF31" s="6">
        <v>100</v>
      </c>
      <c r="AG31" s="8"/>
      <c r="AH31" s="8"/>
      <c r="AI31" s="7"/>
      <c r="AK31" s="6"/>
      <c r="AL31" s="6"/>
    </row>
    <row r="32" spans="2:38" s="4" customFormat="1" ht="18" customHeight="1">
      <c r="B32" s="5"/>
      <c r="C32" s="6" t="s">
        <v>68</v>
      </c>
      <c r="D32" s="6" t="s">
        <v>68</v>
      </c>
      <c r="E32" s="6">
        <v>2</v>
      </c>
      <c r="F32" s="6">
        <v>1</v>
      </c>
      <c r="G32" s="6">
        <v>1</v>
      </c>
      <c r="H32" s="6">
        <v>2</v>
      </c>
      <c r="I32" s="6">
        <v>2</v>
      </c>
      <c r="J32" s="6">
        <v>1</v>
      </c>
      <c r="K32" s="41" t="s">
        <v>151</v>
      </c>
      <c r="L32" s="40" t="s">
        <v>103</v>
      </c>
      <c r="M32" s="7"/>
      <c r="N32" s="7"/>
      <c r="O32" s="7"/>
      <c r="P32" s="7"/>
      <c r="Q32" s="7"/>
      <c r="R32" s="7" t="s">
        <v>59</v>
      </c>
      <c r="S32" s="7"/>
      <c r="T32" s="59">
        <v>1</v>
      </c>
      <c r="U32" s="18">
        <v>1</v>
      </c>
      <c r="V32" s="18">
        <v>1</v>
      </c>
      <c r="W32" s="6">
        <v>1</v>
      </c>
      <c r="X32" s="6" t="s">
        <v>173</v>
      </c>
      <c r="Y32" s="7"/>
      <c r="Z32" s="7"/>
      <c r="AA32" s="7"/>
      <c r="AB32" s="6">
        <v>2</v>
      </c>
      <c r="AC32" s="8"/>
      <c r="AD32" s="8"/>
      <c r="AE32" s="6">
        <v>0</v>
      </c>
      <c r="AF32" s="6">
        <v>50</v>
      </c>
      <c r="AG32" s="8"/>
      <c r="AH32" s="8"/>
      <c r="AI32" s="7"/>
      <c r="AK32" s="6"/>
      <c r="AL32" s="6"/>
    </row>
    <row r="33" spans="2:38" s="4" customFormat="1" ht="18" customHeight="1">
      <c r="B33" s="5"/>
      <c r="C33" s="6" t="s">
        <v>68</v>
      </c>
      <c r="D33" s="6" t="s">
        <v>68</v>
      </c>
      <c r="E33" s="6">
        <v>2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41" t="s">
        <v>152</v>
      </c>
      <c r="L33" s="40" t="s">
        <v>104</v>
      </c>
      <c r="M33" s="7"/>
      <c r="N33" s="7"/>
      <c r="O33" s="7"/>
      <c r="P33" s="7"/>
      <c r="Q33" s="7"/>
      <c r="R33" s="7" t="s">
        <v>60</v>
      </c>
      <c r="S33" s="7"/>
      <c r="T33" s="59">
        <v>1</v>
      </c>
      <c r="U33" s="18">
        <v>1</v>
      </c>
      <c r="V33" s="18">
        <v>1</v>
      </c>
      <c r="W33" s="6">
        <v>1</v>
      </c>
      <c r="X33" s="6" t="s">
        <v>173</v>
      </c>
      <c r="Y33" s="7"/>
      <c r="Z33" s="7"/>
      <c r="AA33" s="7"/>
      <c r="AB33" s="6">
        <v>2</v>
      </c>
      <c r="AC33" s="8"/>
      <c r="AD33" s="8"/>
      <c r="AE33" s="6">
        <v>0</v>
      </c>
      <c r="AF33" s="6">
        <v>50</v>
      </c>
      <c r="AG33" s="8"/>
      <c r="AH33" s="8"/>
      <c r="AI33" s="7"/>
      <c r="AK33" s="6"/>
      <c r="AL33" s="6"/>
    </row>
    <row r="34" spans="2:38" s="4" customFormat="1" ht="18" customHeight="1">
      <c r="B34" s="5"/>
      <c r="C34" s="6" t="s">
        <v>68</v>
      </c>
      <c r="D34" s="6" t="s">
        <v>68</v>
      </c>
      <c r="E34" s="6">
        <v>3</v>
      </c>
      <c r="F34" s="6"/>
      <c r="G34" s="6"/>
      <c r="H34" s="6"/>
      <c r="I34" s="6"/>
      <c r="J34" s="6"/>
      <c r="K34" s="41" t="s">
        <v>153</v>
      </c>
      <c r="L34" s="40" t="s">
        <v>105</v>
      </c>
      <c r="M34" s="7" t="s">
        <v>67</v>
      </c>
      <c r="N34" s="7"/>
      <c r="O34" s="7"/>
      <c r="P34" s="7"/>
      <c r="Q34" s="7"/>
      <c r="R34" s="7"/>
      <c r="S34" s="7"/>
      <c r="T34" s="59">
        <v>9</v>
      </c>
      <c r="U34" s="18">
        <v>1</v>
      </c>
      <c r="V34" s="18">
        <v>1</v>
      </c>
      <c r="W34" s="6">
        <v>1</v>
      </c>
      <c r="X34" s="6" t="s">
        <v>173</v>
      </c>
      <c r="Y34" s="7"/>
      <c r="Z34" s="7"/>
      <c r="AA34" s="7"/>
      <c r="AB34" s="6">
        <v>18</v>
      </c>
      <c r="AC34" s="8"/>
      <c r="AD34" s="8"/>
      <c r="AE34" s="6">
        <v>0</v>
      </c>
      <c r="AF34" s="6">
        <v>90</v>
      </c>
      <c r="AG34" s="8"/>
      <c r="AH34" s="8"/>
      <c r="AI34" s="7"/>
      <c r="AK34" s="6"/>
      <c r="AL34" s="6"/>
    </row>
    <row r="35" spans="2:38" s="4" customFormat="1" ht="18" customHeight="1">
      <c r="B35" s="5"/>
      <c r="C35" s="6" t="s">
        <v>68</v>
      </c>
      <c r="D35" s="6" t="s">
        <v>68</v>
      </c>
      <c r="E35" s="6">
        <v>3</v>
      </c>
      <c r="F35" s="6">
        <v>1</v>
      </c>
      <c r="G35" s="6"/>
      <c r="H35" s="6"/>
      <c r="I35" s="6"/>
      <c r="J35" s="6"/>
      <c r="K35" s="41" t="s">
        <v>154</v>
      </c>
      <c r="L35" s="40" t="s">
        <v>106</v>
      </c>
      <c r="M35" s="7"/>
      <c r="N35" s="7" t="s">
        <v>21</v>
      </c>
      <c r="O35" s="7"/>
      <c r="P35" s="7"/>
      <c r="Q35" s="7"/>
      <c r="R35" s="7"/>
      <c r="S35" s="7"/>
      <c r="T35" s="59">
        <v>4</v>
      </c>
      <c r="U35" s="18">
        <v>1</v>
      </c>
      <c r="V35" s="18">
        <v>1</v>
      </c>
      <c r="W35" s="6">
        <v>2</v>
      </c>
      <c r="X35" s="6" t="s">
        <v>173</v>
      </c>
      <c r="Y35" s="7"/>
      <c r="Z35" s="7"/>
      <c r="AA35" s="7"/>
      <c r="AB35" s="6">
        <v>8</v>
      </c>
      <c r="AC35" s="8"/>
      <c r="AD35" s="8"/>
      <c r="AE35" s="6">
        <v>0</v>
      </c>
      <c r="AF35" s="6">
        <v>40</v>
      </c>
      <c r="AG35" s="8"/>
      <c r="AH35" s="8"/>
      <c r="AI35" s="7"/>
      <c r="AK35" s="6"/>
      <c r="AL35" s="7"/>
    </row>
    <row r="36" spans="2:38" s="4" customFormat="1" ht="18" customHeight="1">
      <c r="B36" s="5"/>
      <c r="C36" s="6" t="s">
        <v>68</v>
      </c>
      <c r="D36" s="6" t="s">
        <v>68</v>
      </c>
      <c r="E36" s="6">
        <v>3</v>
      </c>
      <c r="F36" s="6">
        <v>1</v>
      </c>
      <c r="G36" s="6">
        <v>3</v>
      </c>
      <c r="H36" s="6"/>
      <c r="I36" s="6"/>
      <c r="J36" s="6"/>
      <c r="K36" s="41" t="s">
        <v>155</v>
      </c>
      <c r="L36" s="40" t="s">
        <v>107</v>
      </c>
      <c r="M36" s="7"/>
      <c r="N36" s="7"/>
      <c r="O36" s="7" t="s">
        <v>22</v>
      </c>
      <c r="P36" s="7"/>
      <c r="Q36" s="7"/>
      <c r="R36" s="7"/>
      <c r="S36" s="7"/>
      <c r="T36" s="59">
        <v>4</v>
      </c>
      <c r="U36" s="18">
        <v>1</v>
      </c>
      <c r="V36" s="18">
        <v>1</v>
      </c>
      <c r="W36" s="6">
        <v>1</v>
      </c>
      <c r="X36" s="6" t="s">
        <v>173</v>
      </c>
      <c r="Y36" s="7"/>
      <c r="Z36" s="7"/>
      <c r="AA36" s="7"/>
      <c r="AB36" s="6">
        <v>8</v>
      </c>
      <c r="AC36" s="8"/>
      <c r="AD36" s="8"/>
      <c r="AE36" s="6">
        <v>0</v>
      </c>
      <c r="AF36" s="6">
        <v>40</v>
      </c>
      <c r="AG36" s="8"/>
      <c r="AH36" s="8"/>
      <c r="AI36" s="7"/>
      <c r="AK36" s="6"/>
      <c r="AL36" s="6"/>
    </row>
    <row r="37" spans="2:38" s="4" customFormat="1" ht="18" customHeight="1">
      <c r="B37" s="5"/>
      <c r="C37" s="6" t="s">
        <v>68</v>
      </c>
      <c r="D37" s="6" t="s">
        <v>68</v>
      </c>
      <c r="E37" s="6">
        <v>3</v>
      </c>
      <c r="F37" s="6">
        <v>1</v>
      </c>
      <c r="G37" s="6">
        <v>3</v>
      </c>
      <c r="H37" s="6">
        <v>3</v>
      </c>
      <c r="I37" s="6"/>
      <c r="J37" s="6"/>
      <c r="K37" s="41" t="s">
        <v>156</v>
      </c>
      <c r="L37" s="40" t="s">
        <v>108</v>
      </c>
      <c r="M37" s="7"/>
      <c r="N37" s="7"/>
      <c r="O37" s="7"/>
      <c r="P37" s="7" t="s">
        <v>23</v>
      </c>
      <c r="Q37" s="7"/>
      <c r="R37" s="7"/>
      <c r="S37" s="7"/>
      <c r="T37" s="59">
        <v>3</v>
      </c>
      <c r="U37" s="18">
        <v>1</v>
      </c>
      <c r="V37" s="18">
        <v>1</v>
      </c>
      <c r="W37" s="6">
        <v>1</v>
      </c>
      <c r="X37" s="6" t="s">
        <v>173</v>
      </c>
      <c r="Y37" s="7"/>
      <c r="Z37" s="7"/>
      <c r="AA37" s="7"/>
      <c r="AB37" s="6">
        <v>6</v>
      </c>
      <c r="AC37" s="8"/>
      <c r="AD37" s="8"/>
      <c r="AE37" s="6">
        <v>0</v>
      </c>
      <c r="AF37" s="6">
        <v>30</v>
      </c>
      <c r="AG37" s="8"/>
      <c r="AH37" s="8"/>
      <c r="AI37" s="7"/>
      <c r="AK37" s="6"/>
      <c r="AL37" s="6"/>
    </row>
    <row r="38" spans="2:38" s="4" customFormat="1" ht="18" customHeight="1">
      <c r="B38" s="5"/>
      <c r="C38" s="6" t="s">
        <v>68</v>
      </c>
      <c r="D38" s="6" t="s">
        <v>68</v>
      </c>
      <c r="E38" s="6">
        <v>3</v>
      </c>
      <c r="F38" s="6">
        <v>1</v>
      </c>
      <c r="G38" s="6">
        <v>3</v>
      </c>
      <c r="H38" s="6">
        <v>3</v>
      </c>
      <c r="I38" s="6"/>
      <c r="J38" s="6">
        <v>1</v>
      </c>
      <c r="K38" s="41" t="s">
        <v>157</v>
      </c>
      <c r="L38" s="40" t="s">
        <v>109</v>
      </c>
      <c r="M38" s="7"/>
      <c r="N38" s="7"/>
      <c r="O38" s="7"/>
      <c r="P38" s="7"/>
      <c r="Q38" s="7"/>
      <c r="R38" s="7" t="s">
        <v>57</v>
      </c>
      <c r="S38" s="7"/>
      <c r="T38" s="59">
        <v>1</v>
      </c>
      <c r="U38" s="18">
        <v>1</v>
      </c>
      <c r="V38" s="18">
        <v>1</v>
      </c>
      <c r="W38" s="6">
        <v>1</v>
      </c>
      <c r="X38" s="6" t="s">
        <v>173</v>
      </c>
      <c r="Y38" s="7"/>
      <c r="Z38" s="7"/>
      <c r="AA38" s="7"/>
      <c r="AB38" s="6">
        <v>2</v>
      </c>
      <c r="AC38" s="8"/>
      <c r="AD38" s="8"/>
      <c r="AE38" s="6">
        <v>0</v>
      </c>
      <c r="AF38" s="6">
        <v>5</v>
      </c>
      <c r="AG38" s="8"/>
      <c r="AH38" s="8"/>
      <c r="AI38" s="7"/>
      <c r="AK38" s="6"/>
      <c r="AL38" s="6"/>
    </row>
    <row r="39" spans="2:38" s="4" customFormat="1" ht="18" customHeight="1">
      <c r="B39" s="5"/>
      <c r="C39" s="6" t="s">
        <v>68</v>
      </c>
      <c r="D39" s="6" t="s">
        <v>68</v>
      </c>
      <c r="E39" s="6">
        <v>3</v>
      </c>
      <c r="F39" s="6">
        <v>1</v>
      </c>
      <c r="G39" s="6">
        <v>3</v>
      </c>
      <c r="H39" s="6">
        <v>3</v>
      </c>
      <c r="I39" s="6"/>
      <c r="J39" s="6">
        <v>2</v>
      </c>
      <c r="K39" s="41" t="s">
        <v>158</v>
      </c>
      <c r="L39" s="40" t="s">
        <v>110</v>
      </c>
      <c r="M39" s="7"/>
      <c r="N39" s="7"/>
      <c r="O39" s="7"/>
      <c r="P39" s="7"/>
      <c r="Q39" s="7"/>
      <c r="R39" s="7" t="s">
        <v>56</v>
      </c>
      <c r="S39" s="7"/>
      <c r="T39" s="59">
        <v>1</v>
      </c>
      <c r="U39" s="18">
        <v>1</v>
      </c>
      <c r="V39" s="18">
        <v>1</v>
      </c>
      <c r="W39" s="6">
        <v>1</v>
      </c>
      <c r="X39" s="6" t="s">
        <v>173</v>
      </c>
      <c r="Y39" s="7"/>
      <c r="Z39" s="7"/>
      <c r="AA39" s="7"/>
      <c r="AB39" s="6">
        <v>2</v>
      </c>
      <c r="AC39" s="8"/>
      <c r="AD39" s="8"/>
      <c r="AE39" s="6">
        <v>0</v>
      </c>
      <c r="AF39" s="6">
        <v>5</v>
      </c>
      <c r="AG39" s="8"/>
      <c r="AH39" s="8"/>
      <c r="AI39" s="7"/>
      <c r="AK39" s="6"/>
      <c r="AL39" s="6"/>
    </row>
    <row r="40" spans="2:38" s="4" customFormat="1" ht="18" customHeight="1">
      <c r="B40" s="5"/>
      <c r="C40" s="6" t="s">
        <v>68</v>
      </c>
      <c r="D40" s="6" t="s">
        <v>68</v>
      </c>
      <c r="E40" s="6">
        <v>3</v>
      </c>
      <c r="F40" s="6">
        <v>1</v>
      </c>
      <c r="G40" s="6">
        <v>3</v>
      </c>
      <c r="H40" s="6">
        <v>3</v>
      </c>
      <c r="I40" s="6">
        <v>1</v>
      </c>
      <c r="J40" s="6"/>
      <c r="K40" s="41" t="s">
        <v>159</v>
      </c>
      <c r="L40" s="40" t="s">
        <v>111</v>
      </c>
      <c r="M40" s="7"/>
      <c r="N40" s="7"/>
      <c r="O40" s="7"/>
      <c r="P40" s="7"/>
      <c r="Q40" s="7" t="s">
        <v>35</v>
      </c>
      <c r="R40" s="7"/>
      <c r="S40" s="7"/>
      <c r="T40" s="59">
        <v>1</v>
      </c>
      <c r="U40" s="18">
        <v>1</v>
      </c>
      <c r="V40" s="18">
        <v>1</v>
      </c>
      <c r="W40" s="6">
        <v>1</v>
      </c>
      <c r="X40" s="6" t="s">
        <v>173</v>
      </c>
      <c r="Y40" s="7"/>
      <c r="Z40" s="7"/>
      <c r="AA40" s="7"/>
      <c r="AB40" s="6">
        <v>2</v>
      </c>
      <c r="AC40" s="8"/>
      <c r="AD40" s="8"/>
      <c r="AE40" s="6">
        <v>0</v>
      </c>
      <c r="AF40" s="6">
        <v>20</v>
      </c>
      <c r="AG40" s="8"/>
      <c r="AH40" s="8"/>
      <c r="AI40" s="7"/>
      <c r="AK40" s="6"/>
      <c r="AL40" s="6"/>
    </row>
    <row r="41" spans="2:38" s="4" customFormat="1" ht="18" customHeight="1">
      <c r="B41" s="5"/>
      <c r="C41" s="6" t="s">
        <v>68</v>
      </c>
      <c r="D41" s="6" t="s">
        <v>68</v>
      </c>
      <c r="E41" s="6">
        <v>3</v>
      </c>
      <c r="F41" s="6">
        <v>1</v>
      </c>
      <c r="G41" s="6">
        <v>3</v>
      </c>
      <c r="H41" s="6">
        <v>3</v>
      </c>
      <c r="I41" s="6">
        <v>1</v>
      </c>
      <c r="J41" s="6">
        <v>1</v>
      </c>
      <c r="K41" s="41" t="s">
        <v>160</v>
      </c>
      <c r="L41" s="40" t="s">
        <v>112</v>
      </c>
      <c r="M41" s="7"/>
      <c r="N41" s="7"/>
      <c r="O41" s="7"/>
      <c r="P41" s="7"/>
      <c r="Q41" s="7"/>
      <c r="R41" s="7" t="s">
        <v>59</v>
      </c>
      <c r="S41" s="7"/>
      <c r="T41" s="59">
        <v>1</v>
      </c>
      <c r="U41" s="18">
        <v>1</v>
      </c>
      <c r="V41" s="18">
        <v>1</v>
      </c>
      <c r="W41" s="6">
        <v>1</v>
      </c>
      <c r="X41" s="6" t="s">
        <v>173</v>
      </c>
      <c r="Y41" s="7"/>
      <c r="Z41" s="7"/>
      <c r="AA41" s="7"/>
      <c r="AB41" s="6">
        <v>2</v>
      </c>
      <c r="AC41" s="8"/>
      <c r="AD41" s="8"/>
      <c r="AE41" s="6">
        <v>0</v>
      </c>
      <c r="AF41" s="6">
        <v>20</v>
      </c>
      <c r="AG41" s="8"/>
      <c r="AH41" s="8"/>
      <c r="AI41" s="7"/>
      <c r="AK41" s="6"/>
      <c r="AL41" s="6"/>
    </row>
    <row r="42" spans="2:38" s="4" customFormat="1" ht="18" customHeight="1">
      <c r="B42" s="5"/>
      <c r="C42" s="6" t="s">
        <v>68</v>
      </c>
      <c r="D42" s="6" t="s">
        <v>68</v>
      </c>
      <c r="E42" s="6">
        <v>3</v>
      </c>
      <c r="F42" s="6">
        <v>1</v>
      </c>
      <c r="G42" s="6">
        <v>3</v>
      </c>
      <c r="H42" s="6">
        <v>4</v>
      </c>
      <c r="I42" s="6"/>
      <c r="J42" s="6"/>
      <c r="K42" s="41" t="s">
        <v>161</v>
      </c>
      <c r="L42" s="40" t="s">
        <v>113</v>
      </c>
      <c r="M42" s="7"/>
      <c r="N42" s="7"/>
      <c r="O42" s="7"/>
      <c r="P42" s="7" t="s">
        <v>23</v>
      </c>
      <c r="Q42" s="7"/>
      <c r="R42" s="7"/>
      <c r="S42" s="7"/>
      <c r="T42" s="59">
        <v>1</v>
      </c>
      <c r="U42" s="18">
        <v>1</v>
      </c>
      <c r="V42" s="18">
        <v>1</v>
      </c>
      <c r="W42" s="6">
        <v>1</v>
      </c>
      <c r="X42" s="6" t="s">
        <v>173</v>
      </c>
      <c r="Y42" s="7"/>
      <c r="Z42" s="7"/>
      <c r="AA42" s="7"/>
      <c r="AB42" s="6">
        <v>2</v>
      </c>
      <c r="AC42" s="8"/>
      <c r="AD42" s="8"/>
      <c r="AE42" s="6">
        <v>0</v>
      </c>
      <c r="AF42" s="6">
        <v>10</v>
      </c>
      <c r="AG42" s="8"/>
      <c r="AH42" s="8"/>
      <c r="AI42" s="7"/>
      <c r="AK42" s="6"/>
      <c r="AL42" s="6"/>
    </row>
    <row r="43" spans="2:38" s="4" customFormat="1" ht="18" customHeight="1">
      <c r="B43" s="5"/>
      <c r="C43" s="6" t="s">
        <v>68</v>
      </c>
      <c r="D43" s="6" t="s">
        <v>68</v>
      </c>
      <c r="E43" s="6">
        <v>3</v>
      </c>
      <c r="F43" s="6">
        <v>1</v>
      </c>
      <c r="G43" s="6">
        <v>3</v>
      </c>
      <c r="H43" s="6">
        <v>4</v>
      </c>
      <c r="I43" s="6"/>
      <c r="J43" s="6">
        <v>1</v>
      </c>
      <c r="K43" s="41" t="s">
        <v>162</v>
      </c>
      <c r="L43" s="40" t="s">
        <v>114</v>
      </c>
      <c r="M43" s="7"/>
      <c r="N43" s="7"/>
      <c r="O43" s="7"/>
      <c r="P43" s="7"/>
      <c r="Q43" s="7"/>
      <c r="R43" s="7" t="s">
        <v>57</v>
      </c>
      <c r="S43" s="7"/>
      <c r="T43" s="59">
        <v>1</v>
      </c>
      <c r="U43" s="18">
        <v>1</v>
      </c>
      <c r="V43" s="18">
        <v>1</v>
      </c>
      <c r="W43" s="6">
        <v>1</v>
      </c>
      <c r="X43" s="6" t="s">
        <v>173</v>
      </c>
      <c r="Y43" s="7"/>
      <c r="Z43" s="7"/>
      <c r="AA43" s="7"/>
      <c r="AB43" s="6">
        <v>2</v>
      </c>
      <c r="AC43" s="8"/>
      <c r="AD43" s="8"/>
      <c r="AE43" s="6">
        <v>0</v>
      </c>
      <c r="AF43" s="6">
        <v>10</v>
      </c>
      <c r="AG43" s="8"/>
      <c r="AH43" s="8"/>
      <c r="AI43" s="7"/>
      <c r="AK43" s="6"/>
      <c r="AL43" s="6"/>
    </row>
    <row r="44" spans="2:38" s="4" customFormat="1" ht="18" customHeight="1">
      <c r="B44" s="5"/>
      <c r="C44" s="6" t="s">
        <v>68</v>
      </c>
      <c r="D44" s="6" t="s">
        <v>68</v>
      </c>
      <c r="E44" s="6">
        <v>3</v>
      </c>
      <c r="F44" s="6">
        <v>2</v>
      </c>
      <c r="G44" s="6"/>
      <c r="H44" s="6"/>
      <c r="I44" s="6"/>
      <c r="J44" s="6"/>
      <c r="K44" s="41" t="s">
        <v>163</v>
      </c>
      <c r="L44" s="40" t="s">
        <v>115</v>
      </c>
      <c r="M44" s="7"/>
      <c r="N44" s="7" t="s">
        <v>21</v>
      </c>
      <c r="O44" s="7"/>
      <c r="P44" s="7"/>
      <c r="Q44" s="7"/>
      <c r="R44" s="7"/>
      <c r="S44" s="7"/>
      <c r="T44" s="59">
        <v>5</v>
      </c>
      <c r="U44" s="18">
        <v>1</v>
      </c>
      <c r="V44" s="18">
        <v>1</v>
      </c>
      <c r="W44" s="6">
        <v>1</v>
      </c>
      <c r="X44" s="6" t="s">
        <v>173</v>
      </c>
      <c r="Y44" s="7"/>
      <c r="Z44" s="7"/>
      <c r="AA44" s="7"/>
      <c r="AB44" s="6">
        <v>10</v>
      </c>
      <c r="AC44" s="8"/>
      <c r="AD44" s="8"/>
      <c r="AE44" s="6">
        <v>0</v>
      </c>
      <c r="AF44" s="6">
        <v>50</v>
      </c>
      <c r="AG44" s="8"/>
      <c r="AH44" s="8"/>
      <c r="AI44" s="7"/>
      <c r="AK44" s="6"/>
      <c r="AL44" s="6"/>
    </row>
    <row r="45" spans="2:38" s="4" customFormat="1" ht="18" customHeight="1">
      <c r="B45" s="5"/>
      <c r="C45" s="6" t="s">
        <v>68</v>
      </c>
      <c r="D45" s="6" t="s">
        <v>68</v>
      </c>
      <c r="E45" s="6">
        <v>3</v>
      </c>
      <c r="F45" s="6">
        <v>2</v>
      </c>
      <c r="G45" s="6">
        <v>1</v>
      </c>
      <c r="H45" s="6"/>
      <c r="I45" s="6"/>
      <c r="J45" s="6"/>
      <c r="K45" s="41" t="s">
        <v>164</v>
      </c>
      <c r="L45" s="40" t="s">
        <v>116</v>
      </c>
      <c r="M45" s="7"/>
      <c r="N45" s="7"/>
      <c r="O45" s="7" t="s">
        <v>22</v>
      </c>
      <c r="P45" s="7"/>
      <c r="Q45" s="7"/>
      <c r="R45" s="7"/>
      <c r="S45" s="7"/>
      <c r="T45" s="59">
        <v>5</v>
      </c>
      <c r="U45" s="18">
        <v>1</v>
      </c>
      <c r="V45" s="18">
        <v>1</v>
      </c>
      <c r="W45" s="6">
        <v>1</v>
      </c>
      <c r="X45" s="6" t="s">
        <v>173</v>
      </c>
      <c r="Y45" s="7"/>
      <c r="Z45" s="7"/>
      <c r="AA45" s="7"/>
      <c r="AB45" s="6">
        <v>10</v>
      </c>
      <c r="AC45" s="8"/>
      <c r="AD45" s="8"/>
      <c r="AE45" s="6">
        <v>0</v>
      </c>
      <c r="AF45" s="6">
        <v>50</v>
      </c>
      <c r="AG45" s="8"/>
      <c r="AH45" s="8"/>
      <c r="AI45" s="7"/>
      <c r="AK45" s="6"/>
      <c r="AL45" s="6"/>
    </row>
    <row r="46" spans="2:38" s="4" customFormat="1" ht="18" customHeight="1">
      <c r="B46" s="5"/>
      <c r="C46" s="6" t="s">
        <v>68</v>
      </c>
      <c r="D46" s="6" t="s">
        <v>68</v>
      </c>
      <c r="E46" s="6">
        <v>3</v>
      </c>
      <c r="F46" s="6">
        <v>2</v>
      </c>
      <c r="G46" s="6">
        <v>1</v>
      </c>
      <c r="H46" s="6">
        <v>1</v>
      </c>
      <c r="I46" s="6"/>
      <c r="J46" s="6"/>
      <c r="K46" s="41" t="s">
        <v>165</v>
      </c>
      <c r="L46" s="40" t="s">
        <v>117</v>
      </c>
      <c r="M46" s="7"/>
      <c r="N46" s="7"/>
      <c r="O46" s="7"/>
      <c r="P46" s="7" t="s">
        <v>23</v>
      </c>
      <c r="Q46" s="7"/>
      <c r="R46" s="7"/>
      <c r="S46" s="7"/>
      <c r="T46" s="59">
        <v>5</v>
      </c>
      <c r="U46" s="18">
        <v>1</v>
      </c>
      <c r="V46" s="18">
        <v>1</v>
      </c>
      <c r="W46" s="6">
        <v>1</v>
      </c>
      <c r="X46" s="6" t="s">
        <v>173</v>
      </c>
      <c r="Y46" s="7"/>
      <c r="Z46" s="7"/>
      <c r="AA46" s="7"/>
      <c r="AB46" s="6">
        <v>10</v>
      </c>
      <c r="AC46" s="8"/>
      <c r="AD46" s="8"/>
      <c r="AE46" s="6">
        <v>0</v>
      </c>
      <c r="AF46" s="6">
        <v>50</v>
      </c>
      <c r="AG46" s="8"/>
      <c r="AH46" s="8"/>
      <c r="AI46" s="7"/>
      <c r="AK46" s="6"/>
      <c r="AL46" s="6"/>
    </row>
    <row r="47" spans="2:38" s="4" customFormat="1" ht="18" customHeight="1">
      <c r="B47" s="5"/>
      <c r="C47" s="6" t="s">
        <v>68</v>
      </c>
      <c r="D47" s="6" t="s">
        <v>68</v>
      </c>
      <c r="E47" s="6">
        <v>3</v>
      </c>
      <c r="F47" s="6">
        <v>2</v>
      </c>
      <c r="G47" s="6">
        <v>1</v>
      </c>
      <c r="H47" s="6">
        <v>1</v>
      </c>
      <c r="I47" s="6">
        <v>1</v>
      </c>
      <c r="J47" s="6"/>
      <c r="K47" s="41" t="s">
        <v>166</v>
      </c>
      <c r="L47" s="40" t="s">
        <v>118</v>
      </c>
      <c r="M47" s="7"/>
      <c r="N47" s="7"/>
      <c r="O47" s="7"/>
      <c r="P47" s="7"/>
      <c r="Q47" s="7" t="s">
        <v>35</v>
      </c>
      <c r="R47" s="7"/>
      <c r="S47" s="7"/>
      <c r="T47" s="59">
        <v>2</v>
      </c>
      <c r="U47" s="18">
        <v>1</v>
      </c>
      <c r="V47" s="18">
        <v>1</v>
      </c>
      <c r="W47" s="6">
        <v>1</v>
      </c>
      <c r="X47" s="6" t="s">
        <v>173</v>
      </c>
      <c r="Y47" s="7"/>
      <c r="Z47" s="7"/>
      <c r="AA47" s="7"/>
      <c r="AB47" s="6">
        <v>4</v>
      </c>
      <c r="AC47" s="8"/>
      <c r="AD47" s="8"/>
      <c r="AE47" s="6">
        <v>0</v>
      </c>
      <c r="AF47" s="6">
        <v>10</v>
      </c>
      <c r="AG47" s="8"/>
      <c r="AH47" s="8"/>
      <c r="AI47" s="7"/>
      <c r="AK47" s="6"/>
      <c r="AL47" s="6"/>
    </row>
    <row r="48" spans="2:38" s="4" customFormat="1" ht="18" customHeight="1">
      <c r="B48" s="5"/>
      <c r="C48" s="6" t="s">
        <v>68</v>
      </c>
      <c r="D48" s="6" t="s">
        <v>68</v>
      </c>
      <c r="E48" s="6">
        <v>3</v>
      </c>
      <c r="F48" s="6">
        <v>2</v>
      </c>
      <c r="G48" s="6">
        <v>1</v>
      </c>
      <c r="H48" s="6">
        <v>1</v>
      </c>
      <c r="I48" s="6">
        <v>1</v>
      </c>
      <c r="J48" s="6">
        <v>1</v>
      </c>
      <c r="K48" s="41" t="s">
        <v>167</v>
      </c>
      <c r="L48" s="40" t="s">
        <v>119</v>
      </c>
      <c r="M48" s="7"/>
      <c r="N48" s="7"/>
      <c r="O48" s="7"/>
      <c r="P48" s="7"/>
      <c r="Q48" s="7"/>
      <c r="R48" s="7" t="s">
        <v>59</v>
      </c>
      <c r="S48" s="7"/>
      <c r="T48" s="59">
        <v>1</v>
      </c>
      <c r="U48" s="18">
        <v>1</v>
      </c>
      <c r="V48" s="18">
        <v>1</v>
      </c>
      <c r="W48" s="6">
        <v>1</v>
      </c>
      <c r="X48" s="6" t="s">
        <v>173</v>
      </c>
      <c r="Y48" s="7"/>
      <c r="Z48" s="7"/>
      <c r="AA48" s="7"/>
      <c r="AB48" s="6">
        <v>2</v>
      </c>
      <c r="AC48" s="8"/>
      <c r="AD48" s="8"/>
      <c r="AE48" s="6">
        <v>0</v>
      </c>
      <c r="AF48" s="6">
        <v>8</v>
      </c>
      <c r="AG48" s="8"/>
      <c r="AH48" s="8"/>
      <c r="AI48" s="7"/>
      <c r="AK48" s="6"/>
      <c r="AL48" s="6"/>
    </row>
    <row r="49" spans="1:38" s="4" customFormat="1" ht="18" customHeight="1">
      <c r="B49" s="5"/>
      <c r="C49" s="6" t="s">
        <v>68</v>
      </c>
      <c r="D49" s="6" t="s">
        <v>68</v>
      </c>
      <c r="E49" s="6">
        <v>3</v>
      </c>
      <c r="F49" s="6">
        <v>2</v>
      </c>
      <c r="G49" s="6">
        <v>1</v>
      </c>
      <c r="H49" s="6">
        <v>1</v>
      </c>
      <c r="I49" s="6">
        <v>1</v>
      </c>
      <c r="J49" s="6">
        <v>2</v>
      </c>
      <c r="K49" s="41" t="s">
        <v>168</v>
      </c>
      <c r="L49" s="40" t="s">
        <v>120</v>
      </c>
      <c r="M49" s="7"/>
      <c r="N49" s="7"/>
      <c r="O49" s="7"/>
      <c r="P49" s="7"/>
      <c r="Q49" s="7"/>
      <c r="R49" s="7" t="s">
        <v>60</v>
      </c>
      <c r="S49" s="7"/>
      <c r="T49" s="59">
        <v>1</v>
      </c>
      <c r="U49" s="18">
        <v>1</v>
      </c>
      <c r="V49" s="18">
        <v>1</v>
      </c>
      <c r="W49" s="6">
        <v>2</v>
      </c>
      <c r="X49" s="6" t="s">
        <v>173</v>
      </c>
      <c r="Y49" s="7"/>
      <c r="Z49" s="7"/>
      <c r="AA49" s="7"/>
      <c r="AB49" s="6">
        <v>2</v>
      </c>
      <c r="AC49" s="8"/>
      <c r="AD49" s="8"/>
      <c r="AE49" s="6">
        <v>0</v>
      </c>
      <c r="AF49" s="6">
        <v>2</v>
      </c>
      <c r="AG49" s="8"/>
      <c r="AH49" s="8"/>
      <c r="AI49" s="7"/>
      <c r="AK49" s="6"/>
      <c r="AL49" s="6"/>
    </row>
    <row r="50" spans="1:38" s="4" customFormat="1" ht="18" customHeight="1">
      <c r="B50" s="5"/>
      <c r="C50" s="6" t="s">
        <v>68</v>
      </c>
      <c r="D50" s="6" t="s">
        <v>68</v>
      </c>
      <c r="E50" s="6">
        <v>3</v>
      </c>
      <c r="F50" s="6">
        <v>2</v>
      </c>
      <c r="G50" s="6">
        <v>1</v>
      </c>
      <c r="H50" s="6">
        <v>1</v>
      </c>
      <c r="I50" s="6">
        <v>2</v>
      </c>
      <c r="J50" s="6"/>
      <c r="K50" s="41" t="s">
        <v>169</v>
      </c>
      <c r="L50" s="40" t="s">
        <v>121</v>
      </c>
      <c r="M50" s="7"/>
      <c r="N50" s="7"/>
      <c r="O50" s="7"/>
      <c r="P50" s="7"/>
      <c r="Q50" s="7" t="s">
        <v>35</v>
      </c>
      <c r="R50" s="7"/>
      <c r="S50" s="7"/>
      <c r="T50" s="59">
        <v>3</v>
      </c>
      <c r="U50" s="18">
        <v>1</v>
      </c>
      <c r="V50" s="18">
        <v>1</v>
      </c>
      <c r="W50" s="6">
        <v>1</v>
      </c>
      <c r="X50" s="6" t="s">
        <v>173</v>
      </c>
      <c r="Y50" s="7"/>
      <c r="Z50" s="7"/>
      <c r="AA50" s="7"/>
      <c r="AB50" s="6">
        <v>6</v>
      </c>
      <c r="AC50" s="8"/>
      <c r="AD50" s="8"/>
      <c r="AE50" s="6">
        <v>0</v>
      </c>
      <c r="AF50" s="6">
        <v>40</v>
      </c>
      <c r="AG50" s="8"/>
      <c r="AH50" s="8"/>
      <c r="AI50" s="7"/>
      <c r="AK50" s="6"/>
      <c r="AL50" s="6"/>
    </row>
    <row r="51" spans="1:38" s="4" customFormat="1" ht="18" customHeight="1">
      <c r="B51" s="5"/>
      <c r="C51" s="6" t="s">
        <v>68</v>
      </c>
      <c r="D51" s="6" t="s">
        <v>68</v>
      </c>
      <c r="E51" s="6">
        <v>3</v>
      </c>
      <c r="F51" s="6">
        <v>2</v>
      </c>
      <c r="G51" s="6">
        <v>1</v>
      </c>
      <c r="H51" s="6">
        <v>1</v>
      </c>
      <c r="I51" s="6">
        <v>2</v>
      </c>
      <c r="J51" s="6">
        <v>1</v>
      </c>
      <c r="K51" s="41" t="s">
        <v>170</v>
      </c>
      <c r="L51" s="40" t="s">
        <v>122</v>
      </c>
      <c r="M51" s="7"/>
      <c r="N51" s="7"/>
      <c r="O51" s="7"/>
      <c r="P51" s="7"/>
      <c r="Q51" s="7"/>
      <c r="R51" s="7" t="s">
        <v>59</v>
      </c>
      <c r="S51" s="7"/>
      <c r="T51" s="59">
        <v>1</v>
      </c>
      <c r="U51" s="18">
        <v>1</v>
      </c>
      <c r="V51" s="18">
        <v>1</v>
      </c>
      <c r="W51" s="6">
        <v>1</v>
      </c>
      <c r="X51" s="6" t="s">
        <v>173</v>
      </c>
      <c r="Y51" s="7"/>
      <c r="Z51" s="7"/>
      <c r="AA51" s="7"/>
      <c r="AB51" s="6">
        <v>2</v>
      </c>
      <c r="AC51" s="8"/>
      <c r="AD51" s="8"/>
      <c r="AE51" s="6">
        <v>0</v>
      </c>
      <c r="AF51" s="6">
        <v>10</v>
      </c>
      <c r="AG51" s="8"/>
      <c r="AH51" s="8"/>
      <c r="AI51" s="7"/>
      <c r="AK51" s="6"/>
      <c r="AL51" s="6"/>
    </row>
    <row r="52" spans="1:38" s="4" customFormat="1" ht="18" customHeight="1">
      <c r="B52" s="5"/>
      <c r="C52" s="6" t="s">
        <v>68</v>
      </c>
      <c r="D52" s="6" t="s">
        <v>68</v>
      </c>
      <c r="E52" s="6">
        <v>3</v>
      </c>
      <c r="F52" s="6">
        <v>2</v>
      </c>
      <c r="G52" s="6">
        <v>1</v>
      </c>
      <c r="H52" s="6">
        <v>1</v>
      </c>
      <c r="I52" s="6">
        <v>2</v>
      </c>
      <c r="J52" s="6">
        <v>2</v>
      </c>
      <c r="K52" s="41" t="s">
        <v>171</v>
      </c>
      <c r="L52" s="40" t="s">
        <v>123</v>
      </c>
      <c r="M52" s="7"/>
      <c r="N52" s="7"/>
      <c r="O52" s="7"/>
      <c r="P52" s="7"/>
      <c r="Q52" s="7"/>
      <c r="R52" s="7" t="s">
        <v>60</v>
      </c>
      <c r="S52" s="7"/>
      <c r="T52" s="59">
        <v>1</v>
      </c>
      <c r="U52" s="18">
        <v>1</v>
      </c>
      <c r="V52" s="18">
        <v>1</v>
      </c>
      <c r="W52" s="6">
        <v>1</v>
      </c>
      <c r="X52" s="6" t="s">
        <v>173</v>
      </c>
      <c r="Y52" s="7"/>
      <c r="Z52" s="7"/>
      <c r="AA52" s="7"/>
      <c r="AB52" s="6">
        <v>2</v>
      </c>
      <c r="AC52" s="8"/>
      <c r="AD52" s="8"/>
      <c r="AE52" s="6">
        <v>0</v>
      </c>
      <c r="AF52" s="6">
        <v>10</v>
      </c>
      <c r="AG52" s="8"/>
      <c r="AH52" s="8"/>
      <c r="AI52" s="7"/>
      <c r="AK52" s="6"/>
      <c r="AL52" s="6"/>
    </row>
    <row r="53" spans="1:38" s="4" customFormat="1" ht="18" customHeight="1">
      <c r="B53" s="5"/>
      <c r="C53" s="6" t="s">
        <v>68</v>
      </c>
      <c r="D53" s="6" t="s">
        <v>68</v>
      </c>
      <c r="E53" s="6">
        <v>3</v>
      </c>
      <c r="F53" s="6">
        <v>2</v>
      </c>
      <c r="G53" s="6">
        <v>1</v>
      </c>
      <c r="H53" s="6">
        <v>1</v>
      </c>
      <c r="I53" s="6">
        <v>2</v>
      </c>
      <c r="J53" s="6">
        <v>3</v>
      </c>
      <c r="K53" s="41" t="s">
        <v>172</v>
      </c>
      <c r="L53" s="40" t="s">
        <v>124</v>
      </c>
      <c r="M53" s="7"/>
      <c r="N53" s="7"/>
      <c r="O53" s="7"/>
      <c r="P53" s="7"/>
      <c r="Q53" s="7"/>
      <c r="R53" s="7" t="s">
        <v>61</v>
      </c>
      <c r="S53" s="7"/>
      <c r="T53" s="59">
        <v>1</v>
      </c>
      <c r="U53" s="18">
        <v>1</v>
      </c>
      <c r="V53" s="18">
        <v>1</v>
      </c>
      <c r="W53" s="6">
        <v>1</v>
      </c>
      <c r="X53" s="6" t="s">
        <v>173</v>
      </c>
      <c r="Y53" s="7"/>
      <c r="Z53" s="7"/>
      <c r="AA53" s="7"/>
      <c r="AB53" s="6">
        <v>2</v>
      </c>
      <c r="AC53" s="8"/>
      <c r="AD53" s="8"/>
      <c r="AE53" s="6">
        <v>0</v>
      </c>
      <c r="AF53" s="6">
        <v>20</v>
      </c>
      <c r="AG53" s="8"/>
      <c r="AH53" s="8"/>
      <c r="AI53" s="7"/>
      <c r="AK53" s="6"/>
      <c r="AL53" s="6"/>
    </row>
    <row r="54" spans="1:38" s="4" customFormat="1" ht="18" customHeight="1">
      <c r="A54" s="43" t="s">
        <v>14</v>
      </c>
      <c r="C54" s="5"/>
      <c r="D54" s="5"/>
      <c r="E54" s="36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 t="s">
        <v>75</v>
      </c>
      <c r="U54" s="35" t="s">
        <v>71</v>
      </c>
      <c r="V54" s="35" t="s">
        <v>71</v>
      </c>
      <c r="W54" s="35"/>
      <c r="X54" s="35"/>
      <c r="Y54" s="35"/>
      <c r="Z54" s="35"/>
      <c r="AA54" s="35"/>
      <c r="AB54" s="35" t="s">
        <v>70</v>
      </c>
      <c r="AC54" s="35"/>
      <c r="AD54" s="35"/>
      <c r="AE54" s="35" t="s">
        <v>70</v>
      </c>
      <c r="AF54" s="35" t="s">
        <v>70</v>
      </c>
      <c r="AG54" s="35"/>
      <c r="AH54" s="35"/>
      <c r="AI54" s="37"/>
      <c r="AK54" s="6"/>
      <c r="AL54" s="6"/>
    </row>
    <row r="55" spans="1:38" s="26" customFormat="1" ht="18" customHeight="1">
      <c r="S55" s="29"/>
      <c r="T55" s="57">
        <v>29</v>
      </c>
      <c r="U55" s="58">
        <v>1</v>
      </c>
      <c r="V55" s="58">
        <v>1</v>
      </c>
      <c r="AA55" s="29"/>
      <c r="AB55" s="27">
        <v>58</v>
      </c>
      <c r="AE55" s="38">
        <v>0</v>
      </c>
      <c r="AF55" s="38">
        <v>790</v>
      </c>
      <c r="AK55" s="33"/>
      <c r="AL55" s="33"/>
    </row>
    <row r="56" spans="1:38" s="26" customFormat="1" ht="15" customHeight="1">
      <c r="Y56" s="28"/>
      <c r="AK56" s="33"/>
      <c r="AL56" s="33"/>
    </row>
    <row r="57" spans="1:38" s="26" customFormat="1" ht="15" customHeight="1">
      <c r="AK57" s="33"/>
      <c r="AL57" s="33"/>
    </row>
    <row r="76" spans="3:3" ht="15.75">
      <c r="C76" s="28"/>
    </row>
  </sheetData>
  <sortState xmlns:xlrd2="http://schemas.microsoft.com/office/spreadsheetml/2017/richdata2" ref="B6:AI53">
    <sortCondition ref="K6"/>
  </sortState>
  <dataConsolidate/>
  <phoneticPr fontId="1"/>
  <conditionalFormatting sqref="E6:AI53">
    <cfRule type="expression" dxfId="328" priority="13">
      <formula>AND(ISNUMBER($E6),$J6="")</formula>
    </cfRule>
    <cfRule type="expression" dxfId="327" priority="59">
      <formula>$A6=""</formula>
    </cfRule>
    <cfRule type="expression" dxfId="326" priority="60">
      <formula>AND($X6="完了",$J6="")</formula>
    </cfRule>
    <cfRule type="expression" dxfId="325" priority="61">
      <formula>AND($X6="完了",$J6&lt;&gt;"")</formula>
    </cfRule>
    <cfRule type="expression" dxfId="324" priority="62">
      <formula>$X6="未着手"</formula>
    </cfRule>
    <cfRule type="expression" dxfId="323" priority="63">
      <formula>$X6="保留"</formula>
    </cfRule>
    <cfRule type="expression" dxfId="322" priority="70">
      <formula>$X6="着手中"</formula>
    </cfRule>
  </conditionalFormatting>
  <conditionalFormatting sqref="C4:AI5">
    <cfRule type="expression" dxfId="321" priority="72">
      <formula>OR($A4="@",$A5="@")</formula>
    </cfRule>
  </conditionalFormatting>
  <conditionalFormatting sqref="C54:AI54">
    <cfRule type="expression" dxfId="320" priority="71">
      <formula>$A54="$"</formula>
    </cfRule>
  </conditionalFormatting>
  <conditionalFormatting sqref="C6:D53 U6:AI53">
    <cfRule type="expression" dxfId="319" priority="49">
      <formula>$A6=""</formula>
    </cfRule>
  </conditionalFormatting>
  <conditionalFormatting sqref="E6:E53">
    <cfRule type="expression" dxfId="318" priority="25">
      <formula>AND(NOT(ISNUMBER($E6)),ISNUMBER($F6))</formula>
    </cfRule>
    <cfRule type="expression" dxfId="317" priority="57">
      <formula>$A6=""</formula>
    </cfRule>
  </conditionalFormatting>
  <conditionalFormatting sqref="F6:F53">
    <cfRule type="expression" dxfId="316" priority="24">
      <formula>AND(NOT(ISNUMBER($F6)),ISNUMBER($G6))</formula>
    </cfRule>
    <cfRule type="expression" dxfId="315" priority="56">
      <formula>$A6=""</formula>
    </cfRule>
  </conditionalFormatting>
  <conditionalFormatting sqref="G6:I53">
    <cfRule type="expression" dxfId="314" priority="55">
      <formula>$A6=""</formula>
    </cfRule>
  </conditionalFormatting>
  <conditionalFormatting sqref="J6:J53">
    <cfRule type="expression" dxfId="313" priority="52">
      <formula>$A6=""</formula>
    </cfRule>
  </conditionalFormatting>
  <conditionalFormatting sqref="B6:B53">
    <cfRule type="cellIs" dxfId="312" priority="53" operator="equal">
      <formula>"E"</formula>
    </cfRule>
  </conditionalFormatting>
  <conditionalFormatting sqref="K6:K53">
    <cfRule type="expression" dxfId="311" priority="50">
      <formula>$K6&lt;&gt;""</formula>
    </cfRule>
  </conditionalFormatting>
  <conditionalFormatting sqref="V6:V53">
    <cfRule type="expression" dxfId="310" priority="12">
      <formula>AND($J6="",$V6&lt;&gt;"")</formula>
    </cfRule>
    <cfRule type="expression" dxfId="309" priority="14">
      <formula>AND($J6&lt;&gt;"",$X6="完了",$V6&lt;&gt;100%)</formula>
    </cfRule>
    <cfRule type="expression" dxfId="308" priority="34">
      <formula>AND($J6&lt;&gt;"",$V6="")</formula>
    </cfRule>
  </conditionalFormatting>
  <conditionalFormatting sqref="E6:J53">
    <cfRule type="expression" dxfId="307" priority="100">
      <formula>$A6=""</formula>
    </cfRule>
  </conditionalFormatting>
  <conditionalFormatting sqref="G6:G53">
    <cfRule type="expression" dxfId="306" priority="22">
      <formula>AND(NOT(ISNUMBER($G6)),ISNUMBER($H6))</formula>
    </cfRule>
  </conditionalFormatting>
  <conditionalFormatting sqref="H6:H53">
    <cfRule type="expression" dxfId="305" priority="21">
      <formula>AND(NOT(ISNUMBER($H6)),ISNUMBER($I6))</formula>
    </cfRule>
  </conditionalFormatting>
  <conditionalFormatting sqref="AB6:AB53">
    <cfRule type="expression" dxfId="304" priority="11">
      <formula>AND($J6="",$AB6&lt;&gt;"")</formula>
    </cfRule>
    <cfRule type="expression" dxfId="303" priority="41">
      <formula>AND($J6&lt;&gt;"",$AB6="")</formula>
    </cfRule>
  </conditionalFormatting>
  <conditionalFormatting sqref="M6:M53">
    <cfRule type="expression" dxfId="302" priority="42">
      <formula>AND(ISNUMBER($E6),$F6="",$G6="",$H6="",$I6="",$J6="",$M6="")</formula>
    </cfRule>
  </conditionalFormatting>
  <conditionalFormatting sqref="N6:N53">
    <cfRule type="expression" dxfId="301" priority="29">
      <formula>AND(ISNUMBER($E6),ISNUMBER($F6),$G6="",$H6="",$I6="",$J6="",$N6="")</formula>
    </cfRule>
  </conditionalFormatting>
  <conditionalFormatting sqref="O6:O53">
    <cfRule type="expression" dxfId="300" priority="40">
      <formula>AND(ISNUMBER($E6),ISNUMBER($F6),ISNUMBER($G6),$H6="",$I6="",$J6="",$O6="")</formula>
    </cfRule>
  </conditionalFormatting>
  <conditionalFormatting sqref="P6:P53">
    <cfRule type="expression" dxfId="299" priority="39">
      <formula>AND(ISNUMBER($E6),ISNUMBER($F6),ISNUMBER($G6),ISNUMBER($H6),$I6="",$J6="",$P6="")</formula>
    </cfRule>
  </conditionalFormatting>
  <conditionalFormatting sqref="Q6:Q53">
    <cfRule type="expression" dxfId="298" priority="38">
      <formula>AND(ISNUMBER($E6),ISNUMBER($F6),ISNUMBER($G6),ISNUMBER($H6),ISNUMBER($I6),$J6="",$Q6="")</formula>
    </cfRule>
  </conditionalFormatting>
  <conditionalFormatting sqref="R6:R53">
    <cfRule type="expression" dxfId="297" priority="37">
      <formula>AND(ISNUMBER($J6),$R6="")</formula>
    </cfRule>
  </conditionalFormatting>
  <conditionalFormatting sqref="AA6:AA53">
    <cfRule type="expression" dxfId="296" priority="36">
      <formula>AND(ISNUMBER($J6),$AA6="")</formula>
    </cfRule>
  </conditionalFormatting>
  <conditionalFormatting sqref="AE6:AF53">
    <cfRule type="expression" dxfId="295" priority="20">
      <formula>AND($X6="完了",$AE6="")</formula>
    </cfRule>
  </conditionalFormatting>
  <conditionalFormatting sqref="AG6:AG53">
    <cfRule type="expression" dxfId="294" priority="18">
      <formula>AND($X6="完了",$AG6="")</formula>
    </cfRule>
  </conditionalFormatting>
  <conditionalFormatting sqref="AH6:AH53">
    <cfRule type="expression" dxfId="293" priority="15">
      <formula>AND($X6="完了",$AH6="")</formula>
    </cfRule>
  </conditionalFormatting>
  <conditionalFormatting sqref="C6:AI53">
    <cfRule type="expression" dxfId="292" priority="43">
      <formula>AND($E6&lt;&gt;"",$X6="削除")</formula>
    </cfRule>
    <cfRule type="expression" dxfId="291" priority="44">
      <formula>AND(ISNUMBER($E6),ISNUMBER($F6),ISNUMBER($G6),ISNUMBER($H6),$I6="",$J6="")</formula>
    </cfRule>
    <cfRule type="expression" dxfId="290" priority="45">
      <formula>AND(ISNUMBER($E6),ISNUMBER($F6),ISNUMBER($G6),ISNUMBER($H6),ISNUMBER($I6),$J6="")</formula>
    </cfRule>
    <cfRule type="expression" dxfId="289" priority="47">
      <formula>AND(ISNUMBER($E6),ISNUMBER($F6),ISNUMBER($G6),$H6="",$I6="",$J6="")</formula>
    </cfRule>
    <cfRule type="expression" dxfId="288" priority="48">
      <formula>AND(ISNUMBER($E6),ISNUMBER($F6),$G6="",$H6="",$I6="",$J6="")</formula>
    </cfRule>
    <cfRule type="expression" dxfId="287" priority="51">
      <formula>AND(ISNUMBER($E6),$F6="",$G6="",$H6="",$I6="",$J6="")</formula>
    </cfRule>
  </conditionalFormatting>
  <conditionalFormatting sqref="Y6:Y53">
    <cfRule type="expression" dxfId="286" priority="32">
      <formula>AND($J6&lt;&gt;"",$Y6="")</formula>
    </cfRule>
  </conditionalFormatting>
  <conditionalFormatting sqref="Z6:Z53">
    <cfRule type="expression" dxfId="285" priority="31">
      <formula>AND($J6&lt;&gt;"",$Z6="")</formula>
    </cfRule>
  </conditionalFormatting>
  <conditionalFormatting sqref="AK4:AL5">
    <cfRule type="expression" dxfId="284" priority="27">
      <formula>TRUE</formula>
    </cfRule>
  </conditionalFormatting>
  <conditionalFormatting sqref="U55:V55">
    <cfRule type="expression" dxfId="283" priority="17">
      <formula>TRUE</formula>
    </cfRule>
  </conditionalFormatting>
  <conditionalFormatting sqref="AB55">
    <cfRule type="expression" dxfId="282" priority="16">
      <formula>TRUE</formula>
    </cfRule>
  </conditionalFormatting>
  <conditionalFormatting sqref="AE6:AE53">
    <cfRule type="expression" dxfId="281" priority="10">
      <formula>AND($J6="",$AE6&lt;&gt;"")</formula>
    </cfRule>
    <cfRule type="expression" dxfId="280" priority="30">
      <formula>AND($J6&lt;&gt;"",$AE6="")</formula>
    </cfRule>
  </conditionalFormatting>
  <conditionalFormatting sqref="AF6:AF53">
    <cfRule type="expression" dxfId="279" priority="9">
      <formula>AND($J6="",$AF6&lt;&gt;"")</formula>
    </cfRule>
    <cfRule type="expression" dxfId="278" priority="28">
      <formula>AND($J6&lt;&gt;"",$AF6="")</formula>
    </cfRule>
  </conditionalFormatting>
  <conditionalFormatting sqref="AE55:AF55">
    <cfRule type="expression" dxfId="277" priority="8">
      <formula>TRUE</formula>
    </cfRule>
  </conditionalFormatting>
  <conditionalFormatting sqref="U6:U53">
    <cfRule type="expression" dxfId="276" priority="6">
      <formula>$U6&lt;&gt;""</formula>
    </cfRule>
  </conditionalFormatting>
  <conditionalFormatting sqref="B5">
    <cfRule type="expression" dxfId="275" priority="4">
      <formula>$A5&lt;&gt;"@"</formula>
    </cfRule>
  </conditionalFormatting>
  <conditionalFormatting sqref="B54">
    <cfRule type="expression" dxfId="274" priority="3">
      <formula>$A54&lt;&gt;"$"</formula>
    </cfRule>
  </conditionalFormatting>
  <conditionalFormatting sqref="T55">
    <cfRule type="expression" dxfId="273" priority="2">
      <formula>TRUE</formula>
    </cfRule>
  </conditionalFormatting>
  <conditionalFormatting sqref="T6:T53">
    <cfRule type="expression" dxfId="272" priority="1">
      <formula>$J6&lt;&gt;""</formula>
    </cfRule>
  </conditionalFormatting>
  <dataValidations count="9">
    <dataValidation type="whole" allowBlank="1" showInputMessage="1" showErrorMessage="1" sqref="E6:J53" xr:uid="{FE7F53FF-EE55-4CBC-9DA3-BF16AB8BE815}">
      <formula1>1</formula1>
      <formula2>999</formula2>
    </dataValidation>
    <dataValidation type="whole" allowBlank="1" showInputMessage="1" showErrorMessage="1" sqref="W6:W53" xr:uid="{04271D7D-63D0-44C2-986D-7726BC97A16C}">
      <formula1>1</formula1>
      <formula2>99</formula2>
    </dataValidation>
    <dataValidation type="list" allowBlank="1" showInputMessage="1" showErrorMessage="1" sqref="X6:X53" xr:uid="{58A8ED44-E2E5-4BCC-82CB-B3259CAC93EE}">
      <formula1>"-,未着手,着手中,保留,移管済,棚上げ,却下,完了,削除"</formula1>
    </dataValidation>
    <dataValidation type="decimal" allowBlank="1" showInputMessage="1" showErrorMessage="1" sqref="U6:V53" xr:uid="{9302DED4-6D70-4C5C-B1C9-754C1269DC0A}">
      <formula1>0</formula1>
      <formula2>100</formula2>
    </dataValidation>
    <dataValidation type="decimal" operator="greaterThanOrEqual" allowBlank="1" showInputMessage="1" showErrorMessage="1" sqref="AB6:AB53 AE6:AF53" xr:uid="{E62FD696-B6F0-4AD3-ADDC-545D898DD4D2}">
      <formula1>0</formula1>
    </dataValidation>
    <dataValidation type="list" allowBlank="1" showInputMessage="1" showErrorMessage="1" sqref="Y6:Y53" xr:uid="{8F7DCC5D-5C7A-4083-9384-C33A9BEB2744}">
      <formula1>$AK$6:$AK$8</formula1>
    </dataValidation>
    <dataValidation type="list" allowBlank="1" showInputMessage="1" showErrorMessage="1" sqref="Z6:Z53" xr:uid="{BEE938FD-2840-4EC6-A23B-690DF6B234ED}">
      <formula1>$AL$6:$AL$14</formula1>
    </dataValidation>
    <dataValidation type="list" showDropDown="1" showInputMessage="1" showErrorMessage="1" sqref="D6:D53" xr:uid="{52F302CC-7975-4B04-88F6-23E382EA28CE}">
      <formula1>"・,●"</formula1>
    </dataValidation>
    <dataValidation type="list" showDropDown="1" showInputMessage="1" showErrorMessage="1" sqref="C6:C53" xr:uid="{D2FBD10D-186F-46E7-BCB3-5DB92B64B649}">
      <formula1>"・,■"</formula1>
    </dataValidation>
  </dataValidations>
  <hyperlinks>
    <hyperlink ref="AI3" r:id="rId1" xr:uid="{D4037D80-9C28-4501-A721-6892F90DDCD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09" r:id="rId5" name="ExecuteComboBox_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18</xdr:col>
                    <xdr:colOff>3457575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0" r:id="rId6" name="ExecuteButton_1">
              <controlPr defaultSize="0" print="0" autoFill="0" autoPict="0" macro="[0]!Sheet1.ExeButtonClick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1" r:id="rId7" name="ResetButton_1">
              <controlPr defaultSize="0" print="0" autoFill="0" autoPict="0" macro="[0]!Sheet1.PrepareSheet">
                <anchor moveWithCells="1" sizeWithCells="1">
                  <from>
                    <xdr:col>18</xdr:col>
                    <xdr:colOff>3457575</xdr:colOff>
                    <xdr:row>2</xdr:row>
                    <xdr:rowOff>0</xdr:rowOff>
                  </from>
                  <to>
                    <xdr:col>18</xdr:col>
                    <xdr:colOff>4152900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2" r:id="rId8" name="RecalculateButton_1">
              <controlPr defaultSize="0" print="0" autoFill="0" autoPict="0" macro="[0]!Sheet1.RecalculateSheet">
                <anchor moveWithCells="1" sizeWithCells="1">
                  <from>
                    <xdr:col>18</xdr:col>
                    <xdr:colOff>4152900</xdr:colOff>
                    <xdr:row>2</xdr:row>
                    <xdr:rowOff>0</xdr:rowOff>
                  </from>
                  <to>
                    <xdr:col>19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WBS-TEST</vt:lpstr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2025-04-24T19:17:19Z</dcterms:modified>
</cp:coreProperties>
</file>