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\MyGitHub\h16k148\wbs-template-xlsm\"/>
    </mc:Choice>
  </mc:AlternateContent>
  <xr:revisionPtr revIDLastSave="0" documentId="13_ncr:1_{27F73F12-4B74-4F22-80EC-911E0991A8DF}" xr6:coauthVersionLast="47" xr6:coauthVersionMax="47" xr10:uidLastSave="{00000000-0000-0000-0000-000000000000}"/>
  <bookViews>
    <workbookView xWindow="3936" yWindow="-25092" windowWidth="40908" windowHeight="23304" xr2:uid="{00000000-000D-0000-FFFF-FFFF00000000}"/>
  </bookViews>
  <sheets>
    <sheet name="WBS-TEST" sheetId="57" r:id="rId1"/>
    <sheet name="WBS-Template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57" l="1"/>
  <c r="P16" i="57"/>
  <c r="O8" i="57"/>
  <c r="O9" i="57"/>
  <c r="O10" i="57"/>
  <c r="O11" i="57"/>
  <c r="O12" i="57"/>
  <c r="O13" i="57"/>
  <c r="O14" i="57"/>
  <c r="O15" i="57"/>
  <c r="O16" i="57"/>
  <c r="O17" i="57"/>
  <c r="O18" i="57"/>
  <c r="O19" i="57"/>
  <c r="O20" i="57"/>
  <c r="O21" i="57"/>
  <c r="O22" i="57"/>
  <c r="O23" i="57"/>
  <c r="O24" i="57"/>
  <c r="O25" i="57"/>
  <c r="O26" i="57"/>
  <c r="O27" i="57"/>
  <c r="O28" i="57"/>
  <c r="O29" i="57"/>
  <c r="O30" i="57"/>
  <c r="O31" i="57"/>
  <c r="O32" i="57"/>
  <c r="O33" i="57"/>
  <c r="O34" i="57"/>
  <c r="O35" i="57"/>
  <c r="O36" i="57"/>
  <c r="O37" i="57"/>
  <c r="O38" i="57"/>
  <c r="O39" i="57"/>
  <c r="O40" i="57"/>
  <c r="O41" i="57"/>
  <c r="O42" i="57"/>
  <c r="O43" i="57"/>
  <c r="O44" i="57"/>
  <c r="O45" i="57"/>
  <c r="O46" i="57"/>
  <c r="O47" i="57"/>
  <c r="O48" i="57"/>
  <c r="O49" i="57"/>
  <c r="O50" i="57"/>
  <c r="O51" i="57"/>
  <c r="O52" i="57"/>
  <c r="O53" i="57"/>
  <c r="O54" i="57"/>
  <c r="O55" i="57"/>
  <c r="O56" i="57"/>
  <c r="O57" i="57"/>
  <c r="O58" i="57"/>
  <c r="O59" i="57"/>
  <c r="O60" i="57"/>
  <c r="O61" i="57"/>
  <c r="O62" i="57"/>
  <c r="O63" i="57"/>
  <c r="O64" i="57"/>
  <c r="O65" i="57"/>
  <c r="O66" i="57"/>
  <c r="O67" i="57"/>
  <c r="O68" i="57"/>
  <c r="O69" i="57"/>
  <c r="O70" i="57"/>
  <c r="O71" i="57"/>
  <c r="O72" i="57"/>
  <c r="O73" i="57"/>
  <c r="O74" i="57"/>
  <c r="O75" i="57"/>
  <c r="O76" i="57"/>
  <c r="O77" i="57"/>
  <c r="O78" i="57"/>
  <c r="O79" i="57"/>
  <c r="O80" i="57"/>
  <c r="O81" i="57"/>
  <c r="O82" i="57"/>
  <c r="O83" i="57"/>
  <c r="O84" i="57"/>
  <c r="O85" i="57"/>
  <c r="O86" i="57"/>
  <c r="O87" i="57"/>
  <c r="O88" i="57"/>
  <c r="O89" i="57"/>
  <c r="O90" i="57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N8" i="57"/>
  <c r="N9" i="57"/>
  <c r="N10" i="57"/>
  <c r="N11" i="57"/>
  <c r="N12" i="57"/>
  <c r="N13" i="57"/>
  <c r="N14" i="57"/>
  <c r="N15" i="57"/>
  <c r="N16" i="57"/>
  <c r="N17" i="57"/>
  <c r="N18" i="57"/>
  <c r="N19" i="57"/>
  <c r="N20" i="57"/>
  <c r="N21" i="57"/>
  <c r="N22" i="57"/>
  <c r="N23" i="57"/>
  <c r="N24" i="57"/>
  <c r="N25" i="57"/>
  <c r="N26" i="57"/>
  <c r="N27" i="57"/>
  <c r="N28" i="57"/>
  <c r="N29" i="57"/>
  <c r="N30" i="57"/>
  <c r="N31" i="57"/>
  <c r="N32" i="57"/>
  <c r="N33" i="57"/>
  <c r="N34" i="57"/>
  <c r="N35" i="57"/>
  <c r="N36" i="57"/>
  <c r="N37" i="57"/>
  <c r="N38" i="57"/>
  <c r="N39" i="57"/>
  <c r="N40" i="57"/>
  <c r="N41" i="57"/>
  <c r="N42" i="57"/>
  <c r="N43" i="57"/>
  <c r="N44" i="57"/>
  <c r="N45" i="57"/>
  <c r="N46" i="57"/>
  <c r="N47" i="57"/>
  <c r="N48" i="57"/>
  <c r="N49" i="57"/>
  <c r="N50" i="57"/>
  <c r="N51" i="57"/>
  <c r="N52" i="57"/>
  <c r="N53" i="57"/>
  <c r="N54" i="57"/>
  <c r="N55" i="57"/>
  <c r="N56" i="57"/>
  <c r="N57" i="57"/>
  <c r="N58" i="57"/>
  <c r="N59" i="57"/>
  <c r="N60" i="57"/>
  <c r="N61" i="57"/>
  <c r="N62" i="57"/>
  <c r="N63" i="57"/>
  <c r="N64" i="57"/>
  <c r="N65" i="57"/>
  <c r="N66" i="57"/>
  <c r="N67" i="57"/>
  <c r="N68" i="57"/>
  <c r="N69" i="57"/>
  <c r="N70" i="57"/>
  <c r="N71" i="57"/>
  <c r="N72" i="57"/>
  <c r="N73" i="57"/>
  <c r="N74" i="57"/>
  <c r="N75" i="57"/>
  <c r="N76" i="57"/>
  <c r="N77" i="57"/>
  <c r="N78" i="57"/>
  <c r="N79" i="57"/>
  <c r="N80" i="57"/>
  <c r="N81" i="57"/>
  <c r="N82" i="57"/>
  <c r="N83" i="57"/>
  <c r="N84" i="57"/>
  <c r="N85" i="57"/>
  <c r="N86" i="57"/>
  <c r="N87" i="57"/>
  <c r="N88" i="57"/>
  <c r="N89" i="57"/>
  <c r="N90" i="57"/>
  <c r="N91" i="57"/>
  <c r="N92" i="57"/>
  <c r="N93" i="57"/>
  <c r="N94" i="57"/>
  <c r="N95" i="57"/>
  <c r="N96" i="57"/>
  <c r="N97" i="57"/>
  <c r="N98" i="57"/>
  <c r="N99" i="57"/>
  <c r="N100" i="57"/>
  <c r="N101" i="57"/>
  <c r="N102" i="57"/>
  <c r="N103" i="57"/>
  <c r="N104" i="57"/>
  <c r="N105" i="57"/>
  <c r="N106" i="57"/>
  <c r="N107" i="57"/>
  <c r="N108" i="57"/>
  <c r="N109" i="57"/>
  <c r="N110" i="57"/>
  <c r="N111" i="57"/>
  <c r="N112" i="57"/>
  <c r="N113" i="57"/>
  <c r="N114" i="57"/>
  <c r="N115" i="57"/>
  <c r="N116" i="57"/>
  <c r="N117" i="57"/>
  <c r="N118" i="57"/>
  <c r="N119" i="57"/>
  <c r="N120" i="57"/>
  <c r="N121" i="57"/>
  <c r="N122" i="57"/>
  <c r="N123" i="57"/>
  <c r="N124" i="57"/>
  <c r="N125" i="57"/>
  <c r="N126" i="57"/>
  <c r="N127" i="57"/>
  <c r="N128" i="57"/>
  <c r="N129" i="57"/>
  <c r="N130" i="57"/>
  <c r="N131" i="57"/>
  <c r="N132" i="57"/>
  <c r="N133" i="57"/>
  <c r="N134" i="57"/>
  <c r="N135" i="57"/>
  <c r="N136" i="57"/>
  <c r="N137" i="57"/>
  <c r="N138" i="57"/>
  <c r="N139" i="57"/>
  <c r="N140" i="57"/>
  <c r="N141" i="57"/>
  <c r="N142" i="57"/>
  <c r="N143" i="57"/>
  <c r="N144" i="57"/>
  <c r="N145" i="57"/>
  <c r="N146" i="57"/>
  <c r="N147" i="57"/>
  <c r="N148" i="57"/>
  <c r="N149" i="57"/>
  <c r="N150" i="57"/>
  <c r="N151" i="57"/>
  <c r="N152" i="57"/>
  <c r="N153" i="57"/>
  <c r="N154" i="57"/>
  <c r="N155" i="57"/>
  <c r="N156" i="57"/>
  <c r="N157" i="57"/>
  <c r="N158" i="57"/>
  <c r="M8" i="57"/>
  <c r="Q8" i="57" s="1"/>
  <c r="M9" i="57"/>
  <c r="Q9" i="57" s="1"/>
  <c r="M10" i="57"/>
  <c r="Q10" i="57" s="1"/>
  <c r="M11" i="57"/>
  <c r="Q11" i="57" s="1"/>
  <c r="M12" i="57"/>
  <c r="Q12" i="57" s="1"/>
  <c r="M13" i="57"/>
  <c r="Q13" i="57" s="1"/>
  <c r="M14" i="57"/>
  <c r="Q14" i="57" s="1"/>
  <c r="M15" i="57"/>
  <c r="Q15" i="57" s="1"/>
  <c r="M16" i="57"/>
  <c r="Q16" i="57" s="1"/>
  <c r="M17" i="57"/>
  <c r="P17" i="57" s="1"/>
  <c r="M18" i="57"/>
  <c r="P18" i="57" s="1"/>
  <c r="M19" i="57"/>
  <c r="P19" i="57" s="1"/>
  <c r="M20" i="57"/>
  <c r="P20" i="57" s="1"/>
  <c r="M21" i="57"/>
  <c r="P21" i="57" s="1"/>
  <c r="M22" i="57"/>
  <c r="P22" i="57" s="1"/>
  <c r="M23" i="57"/>
  <c r="P23" i="57" s="1"/>
  <c r="M24" i="57"/>
  <c r="Q24" i="57" s="1"/>
  <c r="M25" i="57"/>
  <c r="Q25" i="57" s="1"/>
  <c r="M26" i="57"/>
  <c r="Q26" i="57" s="1"/>
  <c r="M27" i="57"/>
  <c r="Q27" i="57" s="1"/>
  <c r="M28" i="57"/>
  <c r="Q28" i="57" s="1"/>
  <c r="M29" i="57"/>
  <c r="Q29" i="57" s="1"/>
  <c r="M30" i="57"/>
  <c r="Q30" i="57" s="1"/>
  <c r="M31" i="57"/>
  <c r="Q31" i="57" s="1"/>
  <c r="M32" i="57"/>
  <c r="Q32" i="57" s="1"/>
  <c r="M33" i="57"/>
  <c r="P33" i="57" s="1"/>
  <c r="M34" i="57"/>
  <c r="P34" i="57" s="1"/>
  <c r="M35" i="57"/>
  <c r="P35" i="57" s="1"/>
  <c r="M36" i="57"/>
  <c r="P36" i="57" s="1"/>
  <c r="M37" i="57"/>
  <c r="P37" i="57" s="1"/>
  <c r="M38" i="57"/>
  <c r="P38" i="57" s="1"/>
  <c r="M39" i="57"/>
  <c r="P39" i="57" s="1"/>
  <c r="M40" i="57"/>
  <c r="Q40" i="57" s="1"/>
  <c r="M41" i="57"/>
  <c r="Q41" i="57" s="1"/>
  <c r="M42" i="57"/>
  <c r="Q42" i="57" s="1"/>
  <c r="M43" i="57"/>
  <c r="Q43" i="57" s="1"/>
  <c r="M44" i="57"/>
  <c r="Q44" i="57" s="1"/>
  <c r="M45" i="57"/>
  <c r="Q45" i="57" s="1"/>
  <c r="M46" i="57"/>
  <c r="Q46" i="57" s="1"/>
  <c r="M47" i="57"/>
  <c r="Q47" i="57" s="1"/>
  <c r="M48" i="57"/>
  <c r="Q48" i="57" s="1"/>
  <c r="M49" i="57"/>
  <c r="P49" i="57" s="1"/>
  <c r="M50" i="57"/>
  <c r="P50" i="57" s="1"/>
  <c r="M51" i="57"/>
  <c r="P51" i="57" s="1"/>
  <c r="M52" i="57"/>
  <c r="P52" i="57" s="1"/>
  <c r="M53" i="57"/>
  <c r="P53" i="57" s="1"/>
  <c r="M54" i="57"/>
  <c r="P54" i="57" s="1"/>
  <c r="M55" i="57"/>
  <c r="P55" i="57" s="1"/>
  <c r="M56" i="57"/>
  <c r="Q56" i="57" s="1"/>
  <c r="M57" i="57"/>
  <c r="Q57" i="57" s="1"/>
  <c r="M58" i="57"/>
  <c r="Q58" i="57" s="1"/>
  <c r="M59" i="57"/>
  <c r="Q59" i="57" s="1"/>
  <c r="M60" i="57"/>
  <c r="Q60" i="57" s="1"/>
  <c r="M61" i="57"/>
  <c r="Q61" i="57" s="1"/>
  <c r="M62" i="57"/>
  <c r="Q62" i="57" s="1"/>
  <c r="M63" i="57"/>
  <c r="Q63" i="57" s="1"/>
  <c r="M64" i="57"/>
  <c r="Q64" i="57" s="1"/>
  <c r="M65" i="57"/>
  <c r="P65" i="57" s="1"/>
  <c r="M66" i="57"/>
  <c r="P66" i="57" s="1"/>
  <c r="M67" i="57"/>
  <c r="P67" i="57" s="1"/>
  <c r="M68" i="57"/>
  <c r="P68" i="57" s="1"/>
  <c r="M69" i="57"/>
  <c r="P69" i="57" s="1"/>
  <c r="M70" i="57"/>
  <c r="P70" i="57" s="1"/>
  <c r="M71" i="57"/>
  <c r="P71" i="57" s="1"/>
  <c r="M72" i="57"/>
  <c r="Q72" i="57" s="1"/>
  <c r="M73" i="57"/>
  <c r="Q73" i="57" s="1"/>
  <c r="M74" i="57"/>
  <c r="Q74" i="57" s="1"/>
  <c r="M75" i="57"/>
  <c r="Q75" i="57" s="1"/>
  <c r="M76" i="57"/>
  <c r="Q76" i="57" s="1"/>
  <c r="M77" i="57"/>
  <c r="Q77" i="57" s="1"/>
  <c r="M78" i="57"/>
  <c r="Q78" i="57" s="1"/>
  <c r="M79" i="57"/>
  <c r="Q79" i="57" s="1"/>
  <c r="M80" i="57"/>
  <c r="Q80" i="57" s="1"/>
  <c r="M81" i="57"/>
  <c r="P81" i="57" s="1"/>
  <c r="M82" i="57"/>
  <c r="P82" i="57" s="1"/>
  <c r="M83" i="57"/>
  <c r="P83" i="57" s="1"/>
  <c r="M84" i="57"/>
  <c r="P84" i="57" s="1"/>
  <c r="M85" i="57"/>
  <c r="P85" i="57" s="1"/>
  <c r="M86" i="57"/>
  <c r="P86" i="57" s="1"/>
  <c r="M87" i="57"/>
  <c r="P87" i="57" s="1"/>
  <c r="M88" i="57"/>
  <c r="Q88" i="57" s="1"/>
  <c r="M89" i="57"/>
  <c r="Q89" i="57" s="1"/>
  <c r="M90" i="57"/>
  <c r="Q90" i="57" s="1"/>
  <c r="M91" i="57"/>
  <c r="Q91" i="57" s="1"/>
  <c r="M92" i="57"/>
  <c r="Q92" i="57" s="1"/>
  <c r="M93" i="57"/>
  <c r="Q93" i="57" s="1"/>
  <c r="M94" i="57"/>
  <c r="Q94" i="57" s="1"/>
  <c r="M95" i="57"/>
  <c r="Q95" i="57" s="1"/>
  <c r="M96" i="57"/>
  <c r="Q96" i="57" s="1"/>
  <c r="M97" i="57"/>
  <c r="P97" i="57" s="1"/>
  <c r="M98" i="57"/>
  <c r="P98" i="57" s="1"/>
  <c r="M99" i="57"/>
  <c r="P99" i="57" s="1"/>
  <c r="M100" i="57"/>
  <c r="P100" i="57" s="1"/>
  <c r="M101" i="57"/>
  <c r="P101" i="57" s="1"/>
  <c r="M102" i="57"/>
  <c r="P102" i="57" s="1"/>
  <c r="M103" i="57"/>
  <c r="P103" i="57" s="1"/>
  <c r="M104" i="57"/>
  <c r="Q104" i="57" s="1"/>
  <c r="M105" i="57"/>
  <c r="Q105" i="57" s="1"/>
  <c r="M106" i="57"/>
  <c r="Q106" i="57" s="1"/>
  <c r="M107" i="57"/>
  <c r="Q107" i="57" s="1"/>
  <c r="M108" i="57"/>
  <c r="Q108" i="57" s="1"/>
  <c r="M109" i="57"/>
  <c r="Q109" i="57" s="1"/>
  <c r="M110" i="57"/>
  <c r="Q110" i="57" s="1"/>
  <c r="M111" i="57"/>
  <c r="Q111" i="57" s="1"/>
  <c r="M112" i="57"/>
  <c r="Q112" i="57" s="1"/>
  <c r="M113" i="57"/>
  <c r="P113" i="57" s="1"/>
  <c r="M114" i="57"/>
  <c r="P114" i="57" s="1"/>
  <c r="M115" i="57"/>
  <c r="P115" i="57" s="1"/>
  <c r="M116" i="57"/>
  <c r="P116" i="57" s="1"/>
  <c r="M117" i="57"/>
  <c r="P117" i="57" s="1"/>
  <c r="M118" i="57"/>
  <c r="P118" i="57" s="1"/>
  <c r="M119" i="57"/>
  <c r="P119" i="57" s="1"/>
  <c r="M120" i="57"/>
  <c r="Q120" i="57" s="1"/>
  <c r="M121" i="57"/>
  <c r="Q121" i="57" s="1"/>
  <c r="M122" i="57"/>
  <c r="Q122" i="57" s="1"/>
  <c r="M123" i="57"/>
  <c r="Q123" i="57" s="1"/>
  <c r="M124" i="57"/>
  <c r="Q124" i="57" s="1"/>
  <c r="M125" i="57"/>
  <c r="Q125" i="57" s="1"/>
  <c r="M126" i="57"/>
  <c r="Q126" i="57" s="1"/>
  <c r="M127" i="57"/>
  <c r="Q127" i="57" s="1"/>
  <c r="M128" i="57"/>
  <c r="Q128" i="57" s="1"/>
  <c r="M129" i="57"/>
  <c r="P129" i="57" s="1"/>
  <c r="M130" i="57"/>
  <c r="P130" i="57" s="1"/>
  <c r="M131" i="57"/>
  <c r="P131" i="57" s="1"/>
  <c r="M132" i="57"/>
  <c r="P132" i="57" s="1"/>
  <c r="M133" i="57"/>
  <c r="P133" i="57" s="1"/>
  <c r="M134" i="57"/>
  <c r="P134" i="57" s="1"/>
  <c r="M135" i="57"/>
  <c r="P135" i="57" s="1"/>
  <c r="M136" i="57"/>
  <c r="Q136" i="57" s="1"/>
  <c r="M137" i="57"/>
  <c r="Q137" i="57" s="1"/>
  <c r="M138" i="57"/>
  <c r="Q138" i="57" s="1"/>
  <c r="M139" i="57"/>
  <c r="Q139" i="57" s="1"/>
  <c r="M140" i="57"/>
  <c r="Q140" i="57" s="1"/>
  <c r="M141" i="57"/>
  <c r="Q141" i="57" s="1"/>
  <c r="M142" i="57"/>
  <c r="Q142" i="57" s="1"/>
  <c r="M143" i="57"/>
  <c r="Q143" i="57" s="1"/>
  <c r="M144" i="57"/>
  <c r="Q144" i="57" s="1"/>
  <c r="M145" i="57"/>
  <c r="P145" i="57" s="1"/>
  <c r="M146" i="57"/>
  <c r="P146" i="57" s="1"/>
  <c r="M147" i="57"/>
  <c r="P147" i="57" s="1"/>
  <c r="M148" i="57"/>
  <c r="P148" i="57" s="1"/>
  <c r="M149" i="57"/>
  <c r="P149" i="57" s="1"/>
  <c r="M150" i="57"/>
  <c r="P150" i="57" s="1"/>
  <c r="M151" i="57"/>
  <c r="P151" i="57" s="1"/>
  <c r="M152" i="57"/>
  <c r="Q152" i="57" s="1"/>
  <c r="M153" i="57"/>
  <c r="Q153" i="57" s="1"/>
  <c r="M154" i="57"/>
  <c r="Q154" i="57" s="1"/>
  <c r="M155" i="57"/>
  <c r="Q155" i="57" s="1"/>
  <c r="M156" i="57"/>
  <c r="Q156" i="57" s="1"/>
  <c r="M157" i="57"/>
  <c r="Q157" i="57" s="1"/>
  <c r="M158" i="57"/>
  <c r="Q158" i="57" s="1"/>
  <c r="R8" i="57"/>
  <c r="R9" i="57"/>
  <c r="R10" i="57"/>
  <c r="R11" i="57"/>
  <c r="R12" i="57"/>
  <c r="R13" i="57"/>
  <c r="R14" i="57"/>
  <c r="R15" i="57"/>
  <c r="R16" i="57"/>
  <c r="R17" i="57"/>
  <c r="R18" i="57"/>
  <c r="R19" i="57"/>
  <c r="Q86" i="57" s="1"/>
  <c r="R20" i="57"/>
  <c r="Q135" i="57" s="1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K8" i="57"/>
  <c r="L8" i="57" s="1"/>
  <c r="K9" i="57"/>
  <c r="L9" i="57" s="1"/>
  <c r="K10" i="57"/>
  <c r="L10" i="57" s="1"/>
  <c r="K11" i="57"/>
  <c r="L11" i="57" s="1"/>
  <c r="K12" i="57"/>
  <c r="K13" i="57"/>
  <c r="K14" i="57"/>
  <c r="L14" i="57" s="1"/>
  <c r="K15" i="57"/>
  <c r="L15" i="57" s="1"/>
  <c r="K16" i="57"/>
  <c r="L16" i="57" s="1"/>
  <c r="K17" i="57"/>
  <c r="L17" i="57" s="1"/>
  <c r="K18" i="57"/>
  <c r="L18" i="57" s="1"/>
  <c r="K19" i="57"/>
  <c r="L19" i="57" s="1"/>
  <c r="K20" i="57"/>
  <c r="L20" i="57" s="1"/>
  <c r="K21" i="57"/>
  <c r="L12" i="57" s="1"/>
  <c r="K22" i="57"/>
  <c r="L45" i="57" s="1"/>
  <c r="K23" i="57"/>
  <c r="L23" i="57" s="1"/>
  <c r="K24" i="57"/>
  <c r="L24" i="57" s="1"/>
  <c r="K25" i="57"/>
  <c r="L25" i="57" s="1"/>
  <c r="K26" i="57"/>
  <c r="L26" i="57" s="1"/>
  <c r="K27" i="57"/>
  <c r="L27" i="57" s="1"/>
  <c r="K28" i="57"/>
  <c r="K29" i="57"/>
  <c r="K30" i="57"/>
  <c r="L30" i="57" s="1"/>
  <c r="K31" i="57"/>
  <c r="L31" i="57" s="1"/>
  <c r="K32" i="57"/>
  <c r="L32" i="57" s="1"/>
  <c r="K33" i="57"/>
  <c r="L33" i="57" s="1"/>
  <c r="K34" i="57"/>
  <c r="L34" i="57" s="1"/>
  <c r="K35" i="57"/>
  <c r="L35" i="57" s="1"/>
  <c r="K36" i="57"/>
  <c r="L36" i="57" s="1"/>
  <c r="K37" i="57"/>
  <c r="L37" i="57" s="1"/>
  <c r="K38" i="57"/>
  <c r="L38" i="57" s="1"/>
  <c r="K39" i="57"/>
  <c r="L39" i="57" s="1"/>
  <c r="K40" i="57"/>
  <c r="L40" i="57" s="1"/>
  <c r="K41" i="57"/>
  <c r="L41" i="57" s="1"/>
  <c r="K42" i="57"/>
  <c r="L42" i="57" s="1"/>
  <c r="K43" i="57"/>
  <c r="L43" i="57" s="1"/>
  <c r="K44" i="57"/>
  <c r="K45" i="57"/>
  <c r="K46" i="57"/>
  <c r="L46" i="57" s="1"/>
  <c r="K47" i="57"/>
  <c r="L47" i="57" s="1"/>
  <c r="K48" i="57"/>
  <c r="L48" i="57" s="1"/>
  <c r="K49" i="57"/>
  <c r="L49" i="57" s="1"/>
  <c r="K50" i="57"/>
  <c r="L50" i="57" s="1"/>
  <c r="K51" i="57"/>
  <c r="L51" i="57" s="1"/>
  <c r="K52" i="57"/>
  <c r="L52" i="57" s="1"/>
  <c r="K53" i="57"/>
  <c r="L53" i="57" s="1"/>
  <c r="K54" i="57"/>
  <c r="L54" i="57" s="1"/>
  <c r="K55" i="57"/>
  <c r="L55" i="57" s="1"/>
  <c r="K56" i="57"/>
  <c r="L56" i="57" s="1"/>
  <c r="K57" i="57"/>
  <c r="L57" i="57" s="1"/>
  <c r="K58" i="57"/>
  <c r="L58" i="57" s="1"/>
  <c r="K59" i="57"/>
  <c r="L59" i="57" s="1"/>
  <c r="K60" i="57"/>
  <c r="K61" i="57"/>
  <c r="K62" i="57"/>
  <c r="L62" i="57" s="1"/>
  <c r="K63" i="57"/>
  <c r="L63" i="57" s="1"/>
  <c r="K64" i="57"/>
  <c r="L64" i="57" s="1"/>
  <c r="K65" i="57"/>
  <c r="L65" i="57" s="1"/>
  <c r="K66" i="57"/>
  <c r="L66" i="57" s="1"/>
  <c r="K67" i="57"/>
  <c r="L67" i="57" s="1"/>
  <c r="K68" i="57"/>
  <c r="L68" i="57" s="1"/>
  <c r="K69" i="57"/>
  <c r="L69" i="57" s="1"/>
  <c r="K70" i="57"/>
  <c r="L70" i="57" s="1"/>
  <c r="K71" i="57"/>
  <c r="L71" i="57" s="1"/>
  <c r="K72" i="57"/>
  <c r="L72" i="57" s="1"/>
  <c r="K73" i="57"/>
  <c r="L73" i="57" s="1"/>
  <c r="K74" i="57"/>
  <c r="L74" i="57" s="1"/>
  <c r="K75" i="57"/>
  <c r="L75" i="57" s="1"/>
  <c r="K76" i="57"/>
  <c r="K77" i="57"/>
  <c r="K78" i="57"/>
  <c r="L78" i="57" s="1"/>
  <c r="K79" i="57"/>
  <c r="L79" i="57" s="1"/>
  <c r="K80" i="57"/>
  <c r="L80" i="57" s="1"/>
  <c r="K81" i="57"/>
  <c r="L81" i="57" s="1"/>
  <c r="K82" i="57"/>
  <c r="L82" i="57" s="1"/>
  <c r="K83" i="57"/>
  <c r="L83" i="57" s="1"/>
  <c r="K84" i="57"/>
  <c r="L84" i="57" s="1"/>
  <c r="K85" i="57"/>
  <c r="L85" i="57" s="1"/>
  <c r="K86" i="57"/>
  <c r="L86" i="57" s="1"/>
  <c r="K87" i="57"/>
  <c r="L87" i="57" s="1"/>
  <c r="K88" i="57"/>
  <c r="L88" i="57" s="1"/>
  <c r="K89" i="57"/>
  <c r="L89" i="57" s="1"/>
  <c r="K90" i="57"/>
  <c r="L90" i="57" s="1"/>
  <c r="K91" i="57"/>
  <c r="L91" i="57" s="1"/>
  <c r="K92" i="57"/>
  <c r="K93" i="57"/>
  <c r="K94" i="57"/>
  <c r="L94" i="57" s="1"/>
  <c r="K95" i="57"/>
  <c r="L95" i="57" s="1"/>
  <c r="K96" i="57"/>
  <c r="L96" i="57" s="1"/>
  <c r="K97" i="57"/>
  <c r="L97" i="57" s="1"/>
  <c r="K98" i="57"/>
  <c r="L98" i="57" s="1"/>
  <c r="K99" i="57"/>
  <c r="L99" i="57" s="1"/>
  <c r="K100" i="57"/>
  <c r="L100" i="57" s="1"/>
  <c r="K101" i="57"/>
  <c r="L101" i="57" s="1"/>
  <c r="K102" i="57"/>
  <c r="L102" i="57" s="1"/>
  <c r="K103" i="57"/>
  <c r="L103" i="57" s="1"/>
  <c r="K104" i="57"/>
  <c r="L104" i="57" s="1"/>
  <c r="K105" i="57"/>
  <c r="L105" i="57" s="1"/>
  <c r="K106" i="57"/>
  <c r="L106" i="57" s="1"/>
  <c r="K107" i="57"/>
  <c r="L107" i="57" s="1"/>
  <c r="K108" i="57"/>
  <c r="K109" i="57"/>
  <c r="K110" i="57"/>
  <c r="L110" i="57" s="1"/>
  <c r="K111" i="57"/>
  <c r="L111" i="57" s="1"/>
  <c r="K112" i="57"/>
  <c r="L112" i="57" s="1"/>
  <c r="K113" i="57"/>
  <c r="L113" i="57" s="1"/>
  <c r="K114" i="57"/>
  <c r="L114" i="57" s="1"/>
  <c r="K115" i="57"/>
  <c r="L115" i="57" s="1"/>
  <c r="K116" i="57"/>
  <c r="L116" i="57" s="1"/>
  <c r="K117" i="57"/>
  <c r="L117" i="57" s="1"/>
  <c r="K118" i="57"/>
  <c r="L118" i="57" s="1"/>
  <c r="K119" i="57"/>
  <c r="L119" i="57" s="1"/>
  <c r="K120" i="57"/>
  <c r="L120" i="57" s="1"/>
  <c r="K121" i="57"/>
  <c r="L121" i="57" s="1"/>
  <c r="K122" i="57"/>
  <c r="L122" i="57" s="1"/>
  <c r="K123" i="57"/>
  <c r="L123" i="57" s="1"/>
  <c r="K124" i="57"/>
  <c r="K125" i="57"/>
  <c r="K126" i="57"/>
  <c r="L126" i="57" s="1"/>
  <c r="K127" i="57"/>
  <c r="L127" i="57" s="1"/>
  <c r="K128" i="57"/>
  <c r="L128" i="57" s="1"/>
  <c r="K129" i="57"/>
  <c r="L129" i="57" s="1"/>
  <c r="K130" i="57"/>
  <c r="L130" i="57" s="1"/>
  <c r="K131" i="57"/>
  <c r="L131" i="57" s="1"/>
  <c r="K132" i="57"/>
  <c r="L132" i="57" s="1"/>
  <c r="K133" i="57"/>
  <c r="L133" i="57" s="1"/>
  <c r="K134" i="57"/>
  <c r="L134" i="57" s="1"/>
  <c r="K135" i="57"/>
  <c r="L135" i="57" s="1"/>
  <c r="K136" i="57"/>
  <c r="L136" i="57" s="1"/>
  <c r="K137" i="57"/>
  <c r="L137" i="57" s="1"/>
  <c r="K138" i="57"/>
  <c r="L138" i="57" s="1"/>
  <c r="K139" i="57"/>
  <c r="L139" i="57" s="1"/>
  <c r="K140" i="57"/>
  <c r="K141" i="57"/>
  <c r="K142" i="57"/>
  <c r="L142" i="57" s="1"/>
  <c r="K143" i="57"/>
  <c r="L143" i="57" s="1"/>
  <c r="K144" i="57"/>
  <c r="L144" i="57" s="1"/>
  <c r="K145" i="57"/>
  <c r="L145" i="57" s="1"/>
  <c r="K146" i="57"/>
  <c r="L146" i="57" s="1"/>
  <c r="K147" i="57"/>
  <c r="L147" i="57" s="1"/>
  <c r="K148" i="57"/>
  <c r="L148" i="57" s="1"/>
  <c r="K149" i="57"/>
  <c r="L149" i="57" s="1"/>
  <c r="K150" i="57"/>
  <c r="L150" i="57" s="1"/>
  <c r="K151" i="57"/>
  <c r="L151" i="57" s="1"/>
  <c r="K152" i="57"/>
  <c r="L152" i="57" s="1"/>
  <c r="K153" i="57"/>
  <c r="L153" i="57" s="1"/>
  <c r="K154" i="57"/>
  <c r="L154" i="57" s="1"/>
  <c r="K155" i="57"/>
  <c r="L155" i="57" s="1"/>
  <c r="K156" i="57"/>
  <c r="K157" i="57"/>
  <c r="K158" i="57"/>
  <c r="L158" i="57" s="1"/>
  <c r="Q55" i="57" l="1"/>
  <c r="Q22" i="57"/>
  <c r="P158" i="57"/>
  <c r="P142" i="57"/>
  <c r="P126" i="57"/>
  <c r="P110" i="57"/>
  <c r="P94" i="57"/>
  <c r="P78" i="57"/>
  <c r="P62" i="57"/>
  <c r="P46" i="57"/>
  <c r="P30" i="57"/>
  <c r="P14" i="57"/>
  <c r="Q149" i="57"/>
  <c r="Q133" i="57"/>
  <c r="Q117" i="57"/>
  <c r="Q101" i="57"/>
  <c r="Q85" i="57"/>
  <c r="Q69" i="57"/>
  <c r="Q53" i="57"/>
  <c r="Q37" i="57"/>
  <c r="Q21" i="57"/>
  <c r="Q119" i="57"/>
  <c r="L140" i="57"/>
  <c r="L28" i="57"/>
  <c r="P127" i="57"/>
  <c r="P157" i="57"/>
  <c r="P141" i="57"/>
  <c r="P125" i="57"/>
  <c r="P109" i="57"/>
  <c r="P93" i="57"/>
  <c r="P77" i="57"/>
  <c r="P61" i="57"/>
  <c r="P45" i="57"/>
  <c r="P29" i="57"/>
  <c r="P13" i="57"/>
  <c r="Q148" i="57"/>
  <c r="Q132" i="57"/>
  <c r="Q116" i="57"/>
  <c r="Q100" i="57"/>
  <c r="Q84" i="57"/>
  <c r="Q68" i="57"/>
  <c r="Q52" i="57"/>
  <c r="Q36" i="57"/>
  <c r="Q20" i="57"/>
  <c r="L141" i="57"/>
  <c r="L13" i="57"/>
  <c r="P48" i="57"/>
  <c r="Q134" i="57"/>
  <c r="P156" i="57"/>
  <c r="P140" i="57"/>
  <c r="P124" i="57"/>
  <c r="P108" i="57"/>
  <c r="P92" i="57"/>
  <c r="P76" i="57"/>
  <c r="P60" i="57"/>
  <c r="P44" i="57"/>
  <c r="P28" i="57"/>
  <c r="P12" i="57"/>
  <c r="Q147" i="57"/>
  <c r="Q131" i="57"/>
  <c r="Q115" i="57"/>
  <c r="Q99" i="57"/>
  <c r="Q83" i="57"/>
  <c r="Q67" i="57"/>
  <c r="Q51" i="57"/>
  <c r="Q35" i="57"/>
  <c r="Q19" i="57"/>
  <c r="Q103" i="57"/>
  <c r="L92" i="57"/>
  <c r="L76" i="57"/>
  <c r="P111" i="57"/>
  <c r="P31" i="57"/>
  <c r="P155" i="57"/>
  <c r="P139" i="57"/>
  <c r="P123" i="57"/>
  <c r="P107" i="57"/>
  <c r="P91" i="57"/>
  <c r="P75" i="57"/>
  <c r="P59" i="57"/>
  <c r="P43" i="57"/>
  <c r="P27" i="57"/>
  <c r="P11" i="57"/>
  <c r="Q146" i="57"/>
  <c r="Q130" i="57"/>
  <c r="Q114" i="57"/>
  <c r="Q98" i="57"/>
  <c r="Q82" i="57"/>
  <c r="Q66" i="57"/>
  <c r="Q50" i="57"/>
  <c r="Q34" i="57"/>
  <c r="Q18" i="57"/>
  <c r="Q71" i="57"/>
  <c r="Q38" i="57"/>
  <c r="P154" i="57"/>
  <c r="P138" i="57"/>
  <c r="P122" i="57"/>
  <c r="P106" i="57"/>
  <c r="P90" i="57"/>
  <c r="P74" i="57"/>
  <c r="P58" i="57"/>
  <c r="P42" i="57"/>
  <c r="P26" i="57"/>
  <c r="P10" i="57"/>
  <c r="Q145" i="57"/>
  <c r="Q129" i="57"/>
  <c r="Q113" i="57"/>
  <c r="Q97" i="57"/>
  <c r="Q81" i="57"/>
  <c r="Q65" i="57"/>
  <c r="Q49" i="57"/>
  <c r="Q33" i="57"/>
  <c r="Q17" i="57"/>
  <c r="L125" i="57"/>
  <c r="L29" i="57"/>
  <c r="P80" i="57"/>
  <c r="Q118" i="57"/>
  <c r="L22" i="57"/>
  <c r="P153" i="57"/>
  <c r="P137" i="57"/>
  <c r="P121" i="57"/>
  <c r="P105" i="57"/>
  <c r="P89" i="57"/>
  <c r="P73" i="57"/>
  <c r="P57" i="57"/>
  <c r="P41" i="57"/>
  <c r="P25" i="57"/>
  <c r="P9" i="57"/>
  <c r="Q39" i="57"/>
  <c r="L108" i="57"/>
  <c r="L60" i="57"/>
  <c r="P95" i="57"/>
  <c r="P79" i="57"/>
  <c r="L21" i="57"/>
  <c r="P152" i="57"/>
  <c r="P136" i="57"/>
  <c r="P120" i="57"/>
  <c r="P104" i="57"/>
  <c r="P88" i="57"/>
  <c r="P72" i="57"/>
  <c r="P56" i="57"/>
  <c r="P40" i="57"/>
  <c r="P24" i="57"/>
  <c r="P8" i="57"/>
  <c r="L93" i="57"/>
  <c r="L61" i="57"/>
  <c r="P128" i="57"/>
  <c r="P96" i="57"/>
  <c r="L124" i="57"/>
  <c r="L44" i="57"/>
  <c r="P143" i="57"/>
  <c r="P63" i="57"/>
  <c r="L157" i="57"/>
  <c r="L77" i="57"/>
  <c r="P112" i="57"/>
  <c r="P32" i="57"/>
  <c r="Q150" i="57"/>
  <c r="Q23" i="57"/>
  <c r="Q102" i="57"/>
  <c r="L109" i="57"/>
  <c r="P144" i="57"/>
  <c r="P64" i="57"/>
  <c r="Q70" i="57"/>
  <c r="Q87" i="57"/>
  <c r="Q54" i="57"/>
  <c r="Q151" i="57"/>
  <c r="L156" i="57"/>
  <c r="P47" i="5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DEV</author>
  </authors>
  <commentList>
    <comment ref="AP2" authorId="0" shapeId="0" xr:uid="{A8B4072F-BA94-421A-8781-CDB5E17FA5A4}">
      <text>
        <r>
          <rPr>
            <sz val="9"/>
            <color indexed="81"/>
            <rFont val="MS P ゴシック"/>
            <family val="3"/>
            <charset val="128"/>
          </rPr>
          <t>参考情報：_x000D_
シートロックの解除に関する重要な情報は、リンク先のドキュメントに記載されています。</t>
        </r>
      </text>
    </comment>
  </commentList>
</comments>
</file>

<file path=xl/sharedStrings.xml><?xml version="1.0" encoding="utf-8"?>
<sst xmlns="http://schemas.openxmlformats.org/spreadsheetml/2006/main" count="995" uniqueCount="248">
  <si>
    <t>L1</t>
    <phoneticPr fontId="1"/>
  </si>
  <si>
    <t>L2</t>
    <phoneticPr fontId="1"/>
  </si>
  <si>
    <t>L3</t>
    <phoneticPr fontId="1"/>
  </si>
  <si>
    <t>階層番号</t>
    <rPh sb="0" eb="4">
      <t>カイソウバンゴウ</t>
    </rPh>
    <phoneticPr fontId="1"/>
  </si>
  <si>
    <t>作業内容</t>
    <rPh sb="0" eb="4">
      <t>サギョウナイヨウ</t>
    </rPh>
    <phoneticPr fontId="1"/>
  </si>
  <si>
    <t>担当</t>
    <rPh sb="0" eb="2">
      <t>タントウ</t>
    </rPh>
    <phoneticPr fontId="1"/>
  </si>
  <si>
    <t>ステータス</t>
    <phoneticPr fontId="1"/>
  </si>
  <si>
    <t>成果物</t>
    <rPh sb="0" eb="3">
      <t>セイカブツ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</si>
  <si>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</si>
  <si>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</si>
  <si>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</si>
  <si>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</si>
  <si>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備考</t>
    <rPh sb="0" eb="2">
      <t>ビコウ</t>
    </rPh>
    <phoneticPr fontId="1"/>
  </si>
  <si>
    <t>TASK</t>
    <phoneticPr fontId="1"/>
  </si>
  <si>
    <t>$</t>
    <phoneticPr fontId="1"/>
  </si>
  <si>
    <t>@</t>
    <phoneticPr fontId="1"/>
  </si>
  <si>
    <t>ID</t>
    <phoneticPr fontId="1"/>
  </si>
  <si>
    <t>L1</t>
  </si>
  <si>
    <t>IDX</t>
    <phoneticPr fontId="1"/>
  </si>
  <si>
    <t>L4</t>
    <phoneticPr fontId="1"/>
  </si>
  <si>
    <t>L5</t>
    <phoneticPr fontId="1"/>
  </si>
  <si>
    <t>L2項目</t>
    <rPh sb="2" eb="4">
      <t>コウモク</t>
    </rPh>
    <phoneticPr fontId="1"/>
  </si>
  <si>
    <t>L3項目</t>
    <rPh sb="2" eb="4">
      <t>コウモク</t>
    </rPh>
    <phoneticPr fontId="1"/>
  </si>
  <si>
    <t>L4項目</t>
    <rPh sb="2" eb="4">
      <t>コウモク</t>
    </rPh>
    <phoneticPr fontId="1"/>
  </si>
  <si>
    <t>進捗率</t>
    <rPh sb="0" eb="2">
      <t>シンチョク</t>
    </rPh>
    <rPh sb="2" eb="3">
      <t>リツ</t>
    </rPh>
    <phoneticPr fontId="1"/>
  </si>
  <si>
    <t>加重</t>
    <rPh sb="0" eb="2">
      <t>カジュウ</t>
    </rPh>
    <phoneticPr fontId="1"/>
  </si>
  <si>
    <t>WBS-Template</t>
    <phoneticPr fontId="1"/>
  </si>
  <si>
    <t>CHK</t>
    <phoneticPr fontId="1"/>
  </si>
  <si>
    <t>OPT</t>
    <phoneticPr fontId="1"/>
  </si>
  <si>
    <t>WBS項目名</t>
    <phoneticPr fontId="1"/>
  </si>
  <si>
    <t>工数</t>
    <rPh sb="0" eb="2">
      <t>コウスウ</t>
    </rPh>
    <phoneticPr fontId="1"/>
  </si>
  <si>
    <t>項目</t>
    <rPh sb="0" eb="2">
      <t>コウモク</t>
    </rPh>
    <phoneticPr fontId="1"/>
  </si>
  <si>
    <t>消化率</t>
    <rPh sb="0" eb="3">
      <t>ショウカリツ</t>
    </rPh>
    <phoneticPr fontId="1"/>
  </si>
  <si>
    <t>組織</t>
    <rPh sb="0" eb="2">
      <t>ソシキ</t>
    </rPh>
    <phoneticPr fontId="1"/>
  </si>
  <si>
    <t>候補設定（プルダウン）</t>
    <rPh sb="0" eb="2">
      <t>コウホ</t>
    </rPh>
    <rPh sb="2" eb="4">
      <t>セッテイ</t>
    </rPh>
    <phoneticPr fontId="1"/>
  </si>
  <si>
    <t>L5項目</t>
    <rPh sb="2" eb="4">
      <t>コウモク</t>
    </rPh>
    <phoneticPr fontId="1"/>
  </si>
  <si>
    <t>組織A</t>
    <phoneticPr fontId="1"/>
  </si>
  <si>
    <t>担当1</t>
    <phoneticPr fontId="1"/>
  </si>
  <si>
    <t>担当2</t>
  </si>
  <si>
    <t>担当3</t>
  </si>
  <si>
    <t>担当4</t>
  </si>
  <si>
    <t>担当5</t>
  </si>
  <si>
    <t>担当6</t>
  </si>
  <si>
    <t>担当7</t>
  </si>
  <si>
    <t>担当8</t>
  </si>
  <si>
    <t>担当9</t>
  </si>
  <si>
    <t>https://github.com/H16K148/wbs-template-xlsm</t>
    <phoneticPr fontId="1"/>
  </si>
  <si>
    <t>組織B</t>
  </si>
  <si>
    <t>組織C</t>
  </si>
  <si>
    <t>L4タスク_4</t>
    <phoneticPr fontId="1"/>
  </si>
  <si>
    <t>L1タスク_1</t>
    <phoneticPr fontId="1"/>
  </si>
  <si>
    <t>L2タスク_1</t>
    <phoneticPr fontId="1"/>
  </si>
  <si>
    <t>L2タスク_2</t>
    <phoneticPr fontId="1"/>
  </si>
  <si>
    <t>L3タスク_1</t>
    <phoneticPr fontId="1"/>
  </si>
  <si>
    <t>L3タスク_2</t>
    <phoneticPr fontId="1"/>
  </si>
  <si>
    <t>L3タスク_3</t>
    <phoneticPr fontId="1"/>
  </si>
  <si>
    <t>L4タスク_2</t>
    <phoneticPr fontId="1"/>
  </si>
  <si>
    <t>L4タスク_1</t>
    <phoneticPr fontId="1"/>
  </si>
  <si>
    <t>L4タスク_3</t>
    <phoneticPr fontId="1"/>
  </si>
  <si>
    <t>L5タスク_1</t>
    <phoneticPr fontId="1"/>
  </si>
  <si>
    <t>L5タスク_2</t>
    <phoneticPr fontId="1"/>
  </si>
  <si>
    <t>L5タスク_3</t>
    <phoneticPr fontId="1"/>
  </si>
  <si>
    <t>L5タスク_4</t>
    <phoneticPr fontId="1"/>
  </si>
  <si>
    <t>L5タスク_5</t>
    <phoneticPr fontId="1"/>
  </si>
  <si>
    <t>L1タスク_2</t>
    <phoneticPr fontId="1"/>
  </si>
  <si>
    <t>L1項目2</t>
    <rPh sb="2" eb="4">
      <t>コウモク</t>
    </rPh>
    <phoneticPr fontId="1"/>
  </si>
  <si>
    <t>L1項目1</t>
    <rPh sb="2" eb="4">
      <t>コウモク</t>
    </rPh>
    <phoneticPr fontId="1"/>
  </si>
  <si>
    <t>L1項目3</t>
    <rPh sb="2" eb="4">
      <t>コウモク</t>
    </rPh>
    <phoneticPr fontId="1"/>
  </si>
  <si>
    <t>・</t>
    <phoneticPr fontId="1"/>
  </si>
  <si>
    <t>D-Click！</t>
    <phoneticPr fontId="1"/>
  </si>
  <si>
    <r>
      <t>合計</t>
    </r>
    <r>
      <rPr>
        <sz val="6"/>
        <rFont val="ＭＳ ゴシック"/>
        <family val="3"/>
        <charset val="128"/>
      </rPr>
      <t>人日</t>
    </r>
    <rPh sb="0" eb="2">
      <t>ゴウケイ</t>
    </rPh>
    <rPh sb="2" eb="4">
      <t>ニンニチ</t>
    </rPh>
    <phoneticPr fontId="1"/>
  </si>
  <si>
    <r>
      <t>全体</t>
    </r>
    <r>
      <rPr>
        <sz val="6"/>
        <rFont val="ＭＳ ゴシック"/>
        <family val="3"/>
        <charset val="128"/>
      </rPr>
      <t>%</t>
    </r>
    <rPh sb="0" eb="2">
      <t>ゼンタイ</t>
    </rPh>
    <phoneticPr fontId="1"/>
  </si>
  <si>
    <r>
      <t>工数</t>
    </r>
    <r>
      <rPr>
        <b/>
        <sz val="6"/>
        <color theme="1"/>
        <rFont val="游ゴシック Medium"/>
        <family val="3"/>
        <charset val="128"/>
      </rPr>
      <t>(人日)</t>
    </r>
    <rPh sb="0" eb="2">
      <t>コウスウ</t>
    </rPh>
    <rPh sb="3" eb="5">
      <t>ニンニチ</t>
    </rPh>
    <phoneticPr fontId="1"/>
  </si>
  <si>
    <r>
      <t>残工数</t>
    </r>
    <r>
      <rPr>
        <b/>
        <sz val="6"/>
        <color theme="1"/>
        <rFont val="游ゴシック Medium"/>
        <family val="3"/>
        <charset val="128"/>
      </rPr>
      <t>(人日)</t>
    </r>
    <rPh sb="0" eb="1">
      <t>ザン</t>
    </rPh>
    <rPh sb="1" eb="3">
      <t>コウスウ</t>
    </rPh>
    <rPh sb="4" eb="6">
      <t>ニンニチ</t>
    </rPh>
    <phoneticPr fontId="1"/>
  </si>
  <si>
    <r>
      <t>済工数</t>
    </r>
    <r>
      <rPr>
        <b/>
        <sz val="6"/>
        <color theme="1"/>
        <rFont val="游ゴシック Medium"/>
        <family val="3"/>
        <charset val="128"/>
      </rPr>
      <t>(人日)</t>
    </r>
    <rPh sb="0" eb="1">
      <t>ス</t>
    </rPh>
    <rPh sb="1" eb="3">
      <t>コウスウ</t>
    </rPh>
    <phoneticPr fontId="1"/>
  </si>
  <si>
    <t>合計</t>
    <rPh sb="0" eb="2">
      <t>ゴウケイ</t>
    </rPh>
    <phoneticPr fontId="1"/>
  </si>
  <si>
    <t>TASK計</t>
    <rPh sb="4" eb="5">
      <t>ケイ</t>
    </rPh>
    <phoneticPr fontId="1"/>
  </si>
  <si>
    <t>1</t>
  </si>
  <si>
    <t>1.T1</t>
  </si>
  <si>
    <t>1.T2</t>
  </si>
  <si>
    <t>2</t>
  </si>
  <si>
    <t>2.T1</t>
  </si>
  <si>
    <t>2.1</t>
  </si>
  <si>
    <t>2.1.T1</t>
  </si>
  <si>
    <t>2.1.T2</t>
  </si>
  <si>
    <t>2.1.1</t>
  </si>
  <si>
    <t>2.1.1.T1</t>
  </si>
  <si>
    <t>2.1.1.T2</t>
  </si>
  <si>
    <t>2.1.1.T3</t>
  </si>
  <si>
    <t>2.1.1.1</t>
  </si>
  <si>
    <t>2.1.1.1.T1</t>
  </si>
  <si>
    <t>2.1.1.2</t>
  </si>
  <si>
    <t>2.1.1.2.T1</t>
  </si>
  <si>
    <t>2.1.1.2.T2</t>
  </si>
  <si>
    <t>2.1.1.2.T3</t>
  </si>
  <si>
    <t>2.1.1.2.T4</t>
  </si>
  <si>
    <t>2.1.1.2.1</t>
  </si>
  <si>
    <t>2.1.1.2.1.T1</t>
  </si>
  <si>
    <t>2.1.1.2.1.T2</t>
  </si>
  <si>
    <t>2.1.1.2.1.T3</t>
  </si>
  <si>
    <t>2.1.1.2.1.T4</t>
  </si>
  <si>
    <t>2.1.1.2.1.T5</t>
  </si>
  <si>
    <t>2.1.1.2.2</t>
  </si>
  <si>
    <t>2.1.1.2.2.T1</t>
  </si>
  <si>
    <t>2.1.1.2.2.T2</t>
  </si>
  <si>
    <t>3</t>
  </si>
  <si>
    <t>3.1</t>
  </si>
  <si>
    <t>3.1.3</t>
  </si>
  <si>
    <t>3.1.3.3</t>
  </si>
  <si>
    <t>3.1.3.3.T1</t>
  </si>
  <si>
    <t>3.1.3.3.T2</t>
  </si>
  <si>
    <t>3.1.3.3.1</t>
  </si>
  <si>
    <t>3.1.3.3.1.T1</t>
  </si>
  <si>
    <t>3.1.3.4</t>
  </si>
  <si>
    <t>3.1.3.4.T1</t>
  </si>
  <si>
    <t>3.2</t>
  </si>
  <si>
    <t>3.2.1</t>
  </si>
  <si>
    <t>3.2.1.1</t>
  </si>
  <si>
    <t>3.2.1.1.1</t>
  </si>
  <si>
    <t>3.2.1.1.1.T1</t>
  </si>
  <si>
    <t>3.2.1.1.1.T2</t>
  </si>
  <si>
    <t>3.2.1.1.2</t>
  </si>
  <si>
    <t>3.2.1.1.2.T1</t>
  </si>
  <si>
    <t>3.2.1.1.2.T2</t>
  </si>
  <si>
    <t>3.2.1.1.2.T3</t>
  </si>
  <si>
    <t>001.---.---.---.---.---</t>
  </si>
  <si>
    <t>001.---.---.---.---.001</t>
  </si>
  <si>
    <t>001.---.---.---.---.002</t>
  </si>
  <si>
    <t>002.---.---.---.---.---</t>
  </si>
  <si>
    <t>002.---.---.---.---.001</t>
  </si>
  <si>
    <t>002.001.---.---.---.---</t>
  </si>
  <si>
    <t>002.001.---.---.---.001</t>
  </si>
  <si>
    <t>002.001.---.---.---.002</t>
  </si>
  <si>
    <t>002.001.001.---.---.---</t>
  </si>
  <si>
    <t>002.001.001.---.---.001</t>
  </si>
  <si>
    <t>002.001.001.---.---.002</t>
  </si>
  <si>
    <t>002.001.001.---.---.003</t>
  </si>
  <si>
    <t>002.001.001.001.---.---</t>
  </si>
  <si>
    <t>002.001.001.001.---.001</t>
  </si>
  <si>
    <t>002.001.001.002.---.---</t>
  </si>
  <si>
    <t>002.001.001.002.---.001</t>
  </si>
  <si>
    <t>002.001.001.002.---.002</t>
  </si>
  <si>
    <t>002.001.001.002.---.003</t>
  </si>
  <si>
    <t>002.001.001.002.---.004</t>
  </si>
  <si>
    <t>002.001.001.002.001.---</t>
  </si>
  <si>
    <t>002.001.001.002.001.001</t>
  </si>
  <si>
    <t>002.001.001.002.001.002</t>
  </si>
  <si>
    <t>002.001.001.002.001.003</t>
  </si>
  <si>
    <t>002.001.001.002.001.004</t>
  </si>
  <si>
    <t>002.001.001.002.001.005</t>
  </si>
  <si>
    <t>002.001.001.002.002.---</t>
  </si>
  <si>
    <t>002.001.001.002.002.001</t>
  </si>
  <si>
    <t>002.001.001.002.002.002</t>
  </si>
  <si>
    <t>003.---.---.---.---.---</t>
  </si>
  <si>
    <t>003.001.---.---.---.---</t>
  </si>
  <si>
    <t>003.001.003.---.---.---</t>
  </si>
  <si>
    <t>003.001.003.003.---.---</t>
  </si>
  <si>
    <t>003.001.003.003.---.001</t>
  </si>
  <si>
    <t>003.001.003.003.---.002</t>
  </si>
  <si>
    <t>003.001.003.003.001.---</t>
  </si>
  <si>
    <t>003.001.003.003.001.001</t>
  </si>
  <si>
    <t>003.001.003.004.---.---</t>
  </si>
  <si>
    <t>003.001.003.004.---.001</t>
  </si>
  <si>
    <t>003.002.---.---.---.---</t>
  </si>
  <si>
    <t>003.002.001.---.---.---</t>
  </si>
  <si>
    <t>003.002.001.001.---.---</t>
  </si>
  <si>
    <t>003.002.001.001.001.---</t>
  </si>
  <si>
    <t>003.002.001.001.001.001</t>
  </si>
  <si>
    <t>003.002.001.001.001.002</t>
  </si>
  <si>
    <t>003.002.001.001.002.---</t>
  </si>
  <si>
    <t>003.002.001.001.002.001</t>
  </si>
  <si>
    <t>003.002.001.001.002.002</t>
  </si>
  <si>
    <t>003.002.001.001.002.003</t>
  </si>
  <si>
    <t>-</t>
    <phoneticPr fontId="1"/>
  </si>
  <si>
    <t>WBS-TEST</t>
  </si>
  <si>
    <t>全体実行：</t>
  </si>
  <si>
    <t>選択実行：</t>
  </si>
  <si>
    <t>組織：</t>
  </si>
  <si>
    <t>担当：</t>
  </si>
  <si>
    <t>CHK</t>
  </si>
  <si>
    <t>OPT</t>
  </si>
  <si>
    <t>L2</t>
  </si>
  <si>
    <t>L3</t>
  </si>
  <si>
    <t>L4</t>
  </si>
  <si>
    <t>L5</t>
  </si>
  <si>
    <t>TASK</t>
  </si>
  <si>
    <t>IDX</t>
  </si>
  <si>
    <t>CNT</t>
  </si>
  <si>
    <t>LV</t>
  </si>
  <si>
    <t>T</t>
  </si>
  <si>
    <t>IC</t>
  </si>
  <si>
    <t>PE</t>
  </si>
  <si>
    <t>CE</t>
  </si>
  <si>
    <t>ID</t>
  </si>
  <si>
    <t>TASK件数</t>
  </si>
  <si>
    <t>工数</t>
  </si>
  <si>
    <t>項目</t>
  </si>
  <si>
    <t>予定</t>
  </si>
  <si>
    <t>実績</t>
  </si>
  <si>
    <t>D-Click!</t>
  </si>
  <si>
    <t>階層番号</t>
  </si>
  <si>
    <t>WBS項目名</t>
  </si>
  <si>
    <t>合計</t>
  </si>
  <si>
    <t>完了</t>
  </si>
  <si>
    <t>ステータス</t>
  </si>
  <si>
    <t>進捗率</t>
  </si>
  <si>
    <t>消化率</t>
  </si>
  <si>
    <t>加重</t>
  </si>
  <si>
    <t>組織</t>
  </si>
  <si>
    <t>担当</t>
  </si>
  <si>
    <t>成果物</t>
  </si>
  <si>
    <t>開始日</t>
  </si>
  <si>
    <t>終了日</t>
  </si>
  <si>
    <t>備考</t>
  </si>
  <si>
    <r>
      <t>工数</t>
    </r>
    <r>
      <rPr>
        <sz val="6"/>
        <color theme="1"/>
        <rFont val="Yu Gothic"/>
        <family val="3"/>
        <charset val="128"/>
        <scheme val="minor"/>
      </rPr>
      <t>(人日)</t>
    </r>
  </si>
  <si>
    <r>
      <t>残工数</t>
    </r>
    <r>
      <rPr>
        <sz val="6"/>
        <color theme="1"/>
        <rFont val="Yu Gothic"/>
        <family val="3"/>
        <charset val="128"/>
        <scheme val="minor"/>
      </rPr>
      <t>(人日)</t>
    </r>
  </si>
  <si>
    <r>
      <t>済工数</t>
    </r>
    <r>
      <rPr>
        <sz val="6"/>
        <color theme="1"/>
        <rFont val="Yu Gothic"/>
        <family val="3"/>
        <charset val="128"/>
        <scheme val="minor"/>
      </rPr>
      <t>(人日)</t>
    </r>
  </si>
  <si>
    <t>@</t>
  </si>
  <si>
    <t>$</t>
  </si>
  <si>
    <r>
      <t>全体</t>
    </r>
    <r>
      <rPr>
        <sz val="6"/>
        <color rgb="FFFFFFFF"/>
        <rFont val="Yu Gothic"/>
        <family val="3"/>
        <charset val="128"/>
        <scheme val="minor"/>
      </rPr>
      <t>%</t>
    </r>
  </si>
  <si>
    <r>
      <t>合計</t>
    </r>
    <r>
      <rPr>
        <sz val="6"/>
        <color rgb="FFFFFFFF"/>
        <rFont val="Yu Gothic"/>
        <family val="3"/>
        <charset val="128"/>
        <scheme val="minor"/>
      </rPr>
      <t>人日</t>
    </r>
  </si>
  <si>
    <t>A社,B社,C社</t>
  </si>
  <si>
    <t>佐藤一郎,鈴木二郎,高橋三郎</t>
  </si>
  <si>
    <t>階層1 テキスト</t>
  </si>
  <si>
    <t>階層1タスク テキスト1</t>
  </si>
  <si>
    <t>削除</t>
  </si>
  <si>
    <t>階層1タスク テキスト2</t>
  </si>
  <si>
    <t>却下</t>
  </si>
  <si>
    <t>階層2 テキスト</t>
  </si>
  <si>
    <t>階層2タスク テキスト1</t>
  </si>
  <si>
    <t>保留</t>
  </si>
  <si>
    <t>階層2タスク テキスト2</t>
  </si>
  <si>
    <t>棚上げ</t>
  </si>
  <si>
    <t>階層3 テキスト</t>
  </si>
  <si>
    <t>階層3タスク テキスト1</t>
  </si>
  <si>
    <t>移管済</t>
  </si>
  <si>
    <t>階層3タスク テキスト2</t>
  </si>
  <si>
    <t>未着手</t>
  </si>
  <si>
    <t>階層4 テキスト</t>
  </si>
  <si>
    <t>階層4タスク テキスト1</t>
  </si>
  <si>
    <t>階層4タスク テキスト2</t>
  </si>
  <si>
    <t>着手中</t>
  </si>
  <si>
    <t>階層5 テキスト</t>
  </si>
  <si>
    <t>階層5タスク テキスト1</t>
  </si>
  <si>
    <t>-</t>
  </si>
  <si>
    <t>階層5タスク テキスト2</t>
  </si>
  <si>
    <t>・</t>
  </si>
  <si>
    <t>https://github.com/H16K148/wbs-template-xlsm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</si>
</sst>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¥&quot;#,##0;[Red]&quot;¥&quot;\-#,##0"/>
    <numFmt numFmtId="176" formatCode="yyyy/m/d\ ddd"/>
    <numFmt numFmtId="177" formatCode="0.0%"/>
  </numFmts>
  <fonts count="3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theme="1"/>
      <name val="游ゴシック"/>
      <family val="3"/>
      <charset val="128"/>
    </font>
    <font>
      <sz val="6"/>
      <color theme="1"/>
      <name val="游ゴシック"/>
      <family val="3"/>
      <charset val="128"/>
    </font>
    <font>
      <sz val="8"/>
      <color theme="1"/>
      <name val="游ゴシック"/>
      <family val="3"/>
      <charset val="128"/>
    </font>
    <font>
      <sz val="9"/>
      <color theme="1"/>
      <name val="游ゴシック Medium"/>
      <family val="3"/>
      <charset val="128"/>
    </font>
    <font>
      <sz val="18"/>
      <color theme="1"/>
      <name val="游ゴシック Medium"/>
      <family val="3"/>
      <charset val="128"/>
    </font>
    <font>
      <sz val="7"/>
      <color theme="0" tint="-0.499984740745262"/>
      <name val="游ゴシック Medium"/>
      <family val="3"/>
      <charset val="128"/>
    </font>
    <font>
      <sz val="7"/>
      <color theme="1"/>
      <name val="游ゴシック Medium"/>
      <family val="3"/>
      <charset val="128"/>
    </font>
    <font>
      <sz val="8"/>
      <name val="游ゴシック Medium"/>
      <family val="3"/>
      <charset val="128"/>
    </font>
    <font>
      <b/>
      <sz val="9"/>
      <color theme="1"/>
      <name val="游ゴシック Medium"/>
      <family val="3"/>
      <charset val="128"/>
    </font>
    <font>
      <u/>
      <sz val="11"/>
      <color theme="10"/>
      <name val="Yu Gothic"/>
      <family val="2"/>
      <scheme val="minor"/>
    </font>
    <font>
      <u/>
      <sz val="8"/>
      <color theme="10"/>
      <name val="游ゴシック"/>
      <family val="3"/>
      <charset val="128"/>
    </font>
    <font>
      <sz val="6"/>
      <color theme="0" tint="-0.499984740745262"/>
      <name val="游ゴシック Medium"/>
      <family val="3"/>
      <charset val="128"/>
    </font>
    <font>
      <b/>
      <sz val="9"/>
      <color theme="1"/>
      <name val="游ゴシック"/>
      <family val="3"/>
      <charset val="128"/>
    </font>
    <font>
      <sz val="8"/>
      <color theme="1"/>
      <name val="ＭＳ ゴシック"/>
      <family val="3"/>
      <charset val="128"/>
    </font>
    <font>
      <sz val="6"/>
      <name val="ＭＳ ゴシック"/>
      <family val="3"/>
      <charset val="128"/>
    </font>
    <font>
      <b/>
      <sz val="8"/>
      <color theme="1"/>
      <name val="游ゴシック Medium"/>
      <family val="3"/>
      <charset val="128"/>
    </font>
    <font>
      <b/>
      <sz val="6"/>
      <color theme="1"/>
      <name val="游ゴシック Medium"/>
      <family val="3"/>
      <charset val="128"/>
    </font>
    <font>
      <b/>
      <sz val="8"/>
      <color theme="1"/>
      <name val="游ゴシック"/>
      <family val="3"/>
      <charset val="128"/>
    </font>
    <font>
      <b/>
      <sz val="7"/>
      <color rgb="FFC00000"/>
      <name val="游ゴシック Medium"/>
      <family val="3"/>
      <charset val="128"/>
    </font>
    <font>
      <sz val="9"/>
      <color theme="1"/>
      <name val="Yu Gothic"/>
      <family val="3"/>
      <charset val="128"/>
      <scheme val="minor"/>
    </font>
    <font>
      <sz val="18"/>
      <color theme="1"/>
      <name val="Yu Gothic"/>
      <family val="3"/>
      <charset val="128"/>
      <scheme val="minor"/>
    </font>
    <font>
      <sz val="7"/>
      <color theme="1"/>
      <name val="Yu Gothic"/>
      <family val="3"/>
      <charset val="128"/>
      <scheme val="minor"/>
    </font>
    <font>
      <sz val="6"/>
      <color theme="1"/>
      <name val="Yu Gothic"/>
      <family val="3"/>
      <charset val="128"/>
      <scheme val="minor"/>
    </font>
    <font>
      <sz val="9"/>
      <color rgb="FFFFFFFF"/>
      <name val="Yu Gothic"/>
      <family val="3"/>
      <charset val="128"/>
      <scheme val="minor"/>
    </font>
    <font>
      <sz val="6"/>
      <color rgb="FFFFFFFF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8"/>
      <color theme="10"/>
      <name val="Yu Gothic"/>
      <family val="2"/>
      <scheme val="minor"/>
    </font>
    <font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72">
    <xf numFmtId="0" fontId="0" fillId="0" borderId="0" xfId="0"/>
    <xf numFmtId="0" fontId="2" fillId="0" borderId="0" xfId="0" applyFont="1"/>
    <xf numFmtId="9" fontId="2" fillId="0" borderId="0" xfId="0" applyNumberFormat="1" applyFont="1"/>
    <xf numFmtId="6" fontId="2" fillId="0" borderId="0" xfId="0" applyNumberFormat="1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176" fontId="6" fillId="0" borderId="0" xfId="0" applyNumberFormat="1" applyFont="1" applyAlignment="1">
      <alignment horizontal="center" vertical="center"/>
    </xf>
    <xf numFmtId="0" fontId="7" fillId="0" borderId="4" xfId="0" applyFont="1" applyBorder="1" applyAlignment="1">
      <alignment vertical="center"/>
    </xf>
    <xf numFmtId="0" fontId="7" fillId="0" borderId="8" xfId="0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horizontal="centerContinuous" vertical="center"/>
    </xf>
    <xf numFmtId="0" fontId="7" fillId="0" borderId="3" xfId="0" applyFont="1" applyBorder="1" applyAlignment="1">
      <alignment horizontal="centerContinuous" vertical="center"/>
    </xf>
    <xf numFmtId="0" fontId="7" fillId="0" borderId="4" xfId="0" applyFont="1" applyBorder="1" applyAlignment="1">
      <alignment horizontal="centerContinuous" vertical="center"/>
    </xf>
    <xf numFmtId="0" fontId="7" fillId="0" borderId="5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centerContinuous" vertical="center"/>
    </xf>
    <xf numFmtId="177" fontId="4" fillId="0" borderId="0" xfId="0" applyNumberFormat="1" applyFont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7" fillId="0" borderId="7" xfId="0" applyFont="1" applyBorder="1" applyAlignment="1">
      <alignment horizontal="centerContinuous" vertical="center"/>
    </xf>
    <xf numFmtId="0" fontId="9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10" fillId="0" borderId="3" xfId="0" applyFont="1" applyBorder="1" applyAlignment="1">
      <alignment vertical="center"/>
    </xf>
    <xf numFmtId="0" fontId="11" fillId="0" borderId="4" xfId="0" applyFont="1" applyBorder="1" applyAlignment="1">
      <alignment horizontal="centerContinuous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4" fillId="0" borderId="0" xfId="0" applyFont="1"/>
    <xf numFmtId="0" fontId="12" fillId="0" borderId="0" xfId="0" applyFont="1" applyAlignment="1">
      <alignment horizontal="right" vertical="center"/>
    </xf>
    <xf numFmtId="0" fontId="4" fillId="0" borderId="6" xfId="0" applyFont="1" applyBorder="1" applyAlignment="1">
      <alignment horizontal="centerContinuous" vertical="center"/>
    </xf>
    <xf numFmtId="0" fontId="4" fillId="0" borderId="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Continuous" vertical="center"/>
    </xf>
    <xf numFmtId="0" fontId="4" fillId="0" borderId="0" xfId="0" applyFont="1" applyAlignment="1">
      <alignment horizontal="center"/>
    </xf>
    <xf numFmtId="0" fontId="4" fillId="0" borderId="11" xfId="0" applyFont="1" applyBorder="1" applyAlignment="1">
      <alignment horizontal="centerContinuous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4" fillId="0" borderId="0" xfId="1" applyFont="1" applyAlignment="1">
      <alignment horizontal="right"/>
    </xf>
    <xf numFmtId="49" fontId="6" fillId="0" borderId="0" xfId="0" applyNumberFormat="1" applyFont="1" applyAlignment="1">
      <alignment horizontal="left" vertical="center" indent="1"/>
    </xf>
    <xf numFmtId="49" fontId="5" fillId="0" borderId="0" xfId="0" applyNumberFormat="1" applyFont="1" applyAlignment="1">
      <alignment horizontal="left" vertical="center" indent="1"/>
    </xf>
    <xf numFmtId="0" fontId="15" fillId="0" borderId="6" xfId="0" applyFont="1" applyBorder="1" applyAlignment="1">
      <alignment horizontal="centerContinuous" vertical="center"/>
    </xf>
    <xf numFmtId="0" fontId="17" fillId="0" borderId="0" xfId="0" applyFont="1" applyAlignment="1">
      <alignment vertical="center"/>
    </xf>
    <xf numFmtId="0" fontId="8" fillId="0" borderId="0" xfId="0" applyFont="1" applyAlignment="1">
      <alignment horizontal="left" indent="1"/>
    </xf>
    <xf numFmtId="0" fontId="12" fillId="0" borderId="5" xfId="0" applyFont="1" applyBorder="1" applyAlignment="1">
      <alignment horizontal="centerContinuous" vertical="center"/>
    </xf>
    <xf numFmtId="0" fontId="12" fillId="0" borderId="6" xfId="0" applyFont="1" applyBorder="1" applyAlignment="1">
      <alignment horizontal="centerContinuous" vertical="center"/>
    </xf>
    <xf numFmtId="0" fontId="12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2" fillId="0" borderId="5" xfId="0" applyFont="1" applyBorder="1" applyAlignment="1">
      <alignment horizontal="centerContinuous" vertical="center"/>
    </xf>
    <xf numFmtId="0" fontId="12" fillId="0" borderId="0" xfId="0" applyFont="1" applyAlignment="1">
      <alignment horizontal="center" vertical="center"/>
    </xf>
    <xf numFmtId="177" fontId="7" fillId="0" borderId="0" xfId="0" applyNumberFormat="1" applyFont="1" applyAlignment="1">
      <alignment horizontal="center"/>
    </xf>
    <xf numFmtId="0" fontId="6" fillId="0" borderId="0" xfId="0" applyFont="1" applyAlignment="1">
      <alignment horizontal="righ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left" vertical="center" indent="1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centerContinuous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Continuous"/>
    </xf>
    <xf numFmtId="0" fontId="23" fillId="0" borderId="0" xfId="0" applyFont="1" applyAlignment="1">
      <alignment horizontal="centerContinuous" vertical="center"/>
    </xf>
    <xf numFmtId="0" fontId="27" fillId="0" borderId="0" xfId="0" applyFont="1" applyAlignment="1">
      <alignment horizontal="center" vertical="center"/>
    </xf>
    <xf numFmtId="0" fontId="30" fillId="0" borderId="0" xfId="1" applyFont="1" applyAlignment="1">
      <alignment horizontal="right"/>
    </xf>
    <xf numFmtId="0" fontId="23" fillId="0" borderId="0" xfId="0" applyNumberFormat="1" applyFont="1" applyAlignment="1">
      <alignment vertical="center"/>
    </xf>
  </cellXfs>
  <cellStyles count="2">
    <cellStyle name="ハイパーリンク" xfId="1" builtinId="8"/>
    <cellStyle name="標準" xfId="0" builtinId="0"/>
  </cellStyles>
  <dxfs count="10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ill>
        <patternFill>
          <bgColor rgb="FFFFFF00"/>
        </patternFill>
      </fill>
    </dxf>
    <dxf>
      <font>
        <strike/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78" formatCode="\(0.0%\)"/>
    </dxf>
    <dxf>
      <font>
        <b/>
        <i val="0"/>
        <color rgb="FF002060"/>
      </font>
    </dxf>
    <dxf>
      <fill>
        <patternFill>
          <bgColor rgb="FFFFFF00"/>
        </patternFill>
      </fill>
    </dxf>
    <dxf>
      <font>
        <b/>
        <i/>
      </font>
      <numFmt numFmtId="179" formatCode="\(0.0\)"/>
    </dxf>
    <dxf>
      <fill>
        <patternFill>
          <bgColor rgb="FFFFFF00"/>
        </patternFill>
      </fill>
    </dxf>
    <dxf>
      <font>
        <b/>
        <i/>
      </font>
      <numFmt numFmtId="179" formatCode="\(0.0\)"/>
    </dxf>
    <dxf>
      <font>
        <b/>
        <i val="0"/>
        <color rgb="FF002060"/>
      </font>
    </dxf>
    <dxf>
      <font>
        <b/>
        <i val="0"/>
        <color rgb="FF002060"/>
      </font>
      <numFmt numFmtId="14" formatCode="0.00%"/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color theme="0"/>
      </font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ont>
        <strike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/>
      </font>
      <numFmt numFmtId="179" formatCode="\(0.0\)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/>
      </font>
      <numFmt numFmtId="178" formatCode="\(0.0%\)"/>
      <fill>
        <patternFill patternType="solid"/>
      </fill>
    </dxf>
    <dxf>
      <font>
        <b/>
        <i val="0"/>
        <color theme="0" tint="-0.34998626667073579"/>
      </font>
    </dxf>
    <dxf>
      <font>
        <b/>
        <i val="0"/>
        <color rgb="FF9C0006"/>
      </font>
      <fill>
        <patternFill>
          <bgColor rgb="FFFFC7CE"/>
        </patternFill>
      </fill>
    </dxf>
    <dxf>
      <border>
        <left style="dashed">
          <color auto="1"/>
        </left>
        <right style="thin">
          <color auto="1"/>
        </right>
        <vertical/>
        <horizontal/>
      </border>
    </dxf>
    <dxf>
      <border>
        <left style="dashed">
          <color auto="1"/>
        </left>
        <right style="dashed">
          <color auto="1"/>
        </right>
        <vertical/>
        <horizontal/>
      </border>
    </dxf>
    <dxf>
      <border>
        <left style="dashed">
          <color auto="1"/>
        </left>
        <right style="dashed">
          <color auto="1"/>
        </right>
        <vertical/>
        <horizontal/>
      </border>
    </dxf>
    <dxf>
      <fill>
        <patternFill>
          <bgColor rgb="FFFF0000"/>
        </patternFill>
      </fill>
    </dxf>
    <dxf>
      <border>
        <left style="thin">
          <color auto="1"/>
        </left>
        <right style="dashed">
          <color auto="1"/>
        </right>
        <vertical/>
        <horizontal/>
      </border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4.9989318521683403E-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 tint="-0.499984740745262"/>
      </font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</dxf>
  </dxfs>
  <tableStyles count="0" defaultTableStyle="TableStyleMedium2" defaultPivotStyle="PivotStyleLight16"/>
  <colors>
    <mruColors>
      <color rgb="FFF5F7FB"/>
      <color rgb="FFECF0F8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noThreeD="1" sel="1" val="0">
  <itemLst>
    <item val="すべて再計算"/>
    <item val="書式をリセット"/>
    <item val="階層番号をソート"/>
    <item val="L2以下を非表示"/>
    <item val="L3以下を非表示"/>
    <item val="L4以下を非表示"/>
    <item val="L5以下を非表示"/>
    <item val="TASKを非表示"/>
    <item val="すべてを再表示"/>
  </itemLst>
</formControlPr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noThreeD="1" sel="1" val="0">
  <itemLst>
    <item val="【OPT】 選択した行の下に一行追加"/>
    <item val="【OPT】 選択した階層番号の末尾を＋１"/>
    <item val="【OPT】 選択した階層番号の末尾を－１"/>
    <item val="【CHK】 チェックした２箇所の階層番号の末尾番号を交換　※ チェックが同階層である階層行の２箇所でなかった場合は不可 ※"/>
    <item val="【CHK】 チェックした行を削除　※ 子階層や子タスクがある場合は不可 ※"/>
  </itemLst>
</formControlPr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2" noThreeD="1" sel="1" val="0">
  <itemLst>
    <item val="【OPT】 選択した行の下に一行追加"/>
    <item val="【OPT】 選択した階層番号の末尾を＋１"/>
    <item val="【OPT】 選択した階層番号の末尾を－１"/>
    <item val="【CHK】 チェックした２箇所の階層番号の末尾番号を交換　※ チェックが同階層である階層行の２箇所でなかった場合は不可 ※"/>
    <item val="【CHK】 チェックした行を削除　※ 子階層や子タスクがある場合は不可 ※"/>
    <item val="階層番号をソート"/>
    <item val="L2以下を非表示"/>
    <item val="L3以下を非表示"/>
    <item val="L4以下を非表示"/>
    <item val="すべてを再表示"/>
  </itemLst>
</formControlPr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0</xdr:rowOff>
        </xdr:from>
        <xdr:to>
          <xdr:col>24</xdr:col>
          <xdr:colOff>297180</xdr:colOff>
          <xdr:row>3</xdr:row>
          <xdr:rowOff>0</xdr:rowOff>
        </xdr:to>
        <xdr:sp macro="" textlink="">
          <xdr:nvSpPr>
            <xdr:cNvPr id="67586" name="Execute1ComboBox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C98016FD-B3E5-B930-5A83-A686C1C46D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295275</xdr:colOff>
          <xdr:row>2</xdr:row>
          <xdr:rowOff>0</xdr:rowOff>
        </xdr:from>
        <xdr:to>
          <xdr:col>24</xdr:col>
          <xdr:colOff>809625</xdr:colOff>
          <xdr:row>3</xdr:row>
          <xdr:rowOff>0</xdr:rowOff>
        </xdr:to>
        <xdr:sp macro="" textlink="">
          <xdr:nvSpPr>
            <xdr:cNvPr id="67587" name="Execute1Button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DE3BFBC3-18F4-7872-35E2-96B1D5E1D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809625</xdr:colOff>
          <xdr:row>2</xdr:row>
          <xdr:rowOff>0</xdr:rowOff>
        </xdr:from>
        <xdr:to>
          <xdr:col>24</xdr:col>
          <xdr:colOff>1504950</xdr:colOff>
          <xdr:row>3</xdr:row>
          <xdr:rowOff>0</xdr:rowOff>
        </xdr:to>
        <xdr:sp macro="" textlink="">
          <xdr:nvSpPr>
            <xdr:cNvPr id="67588" name="Reset1Button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E9E971-A071-9D97-1799-D55EDBE3D6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24</xdr:col>
          <xdr:colOff>3474720</xdr:colOff>
          <xdr:row>4</xdr:row>
          <xdr:rowOff>0</xdr:rowOff>
        </xdr:to>
        <xdr:sp macro="" textlink="">
          <xdr:nvSpPr>
            <xdr:cNvPr id="67589" name="Execute2ComboBox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75197B15-EC70-29E4-3776-F94716CB90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3476625</xdr:colOff>
          <xdr:row>3</xdr:row>
          <xdr:rowOff>0</xdr:rowOff>
        </xdr:from>
        <xdr:to>
          <xdr:col>24</xdr:col>
          <xdr:colOff>3981450</xdr:colOff>
          <xdr:row>4</xdr:row>
          <xdr:rowOff>0</xdr:rowOff>
        </xdr:to>
        <xdr:sp macro="" textlink="">
          <xdr:nvSpPr>
            <xdr:cNvPr id="67590" name="Execute2Butt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6C2ED165-4C88-4886-ECD4-85E208B67D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3981450</xdr:colOff>
          <xdr:row>3</xdr:row>
          <xdr:rowOff>0</xdr:rowOff>
        </xdr:from>
        <xdr:to>
          <xdr:col>25</xdr:col>
          <xdr:colOff>57150</xdr:colOff>
          <xdr:row>4</xdr:row>
          <xdr:rowOff>0</xdr:rowOff>
        </xdr:to>
        <xdr:sp macro="" textlink="">
          <xdr:nvSpPr>
            <xdr:cNvPr id="67591" name="Reset2Button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D8534D60-061C-6ACF-2684-D4C041128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18</xdr:col>
          <xdr:colOff>3486150</xdr:colOff>
          <xdr:row>3</xdr:row>
          <xdr:rowOff>0</xdr:rowOff>
        </xdr:to>
        <xdr:sp macro="" textlink="">
          <xdr:nvSpPr>
            <xdr:cNvPr id="7801" name="ExecuteComboBox_1" hidden="1">
              <a:extLst>
                <a:ext uri="{63B3BB69-23CF-44E3-9099-C40C66FF867C}">
                  <a14:compatExt spid="_x0000_s7801"/>
                </a:ext>
                <a:ext uri="{FF2B5EF4-FFF2-40B4-BE49-F238E27FC236}">
                  <a16:creationId xmlns:a16="http://schemas.microsoft.com/office/drawing/2014/main" id="{00000000-0008-0000-0100-000079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7802" name="ExecuteButton_1" hidden="1">
              <a:extLst>
                <a:ext uri="{63B3BB69-23CF-44E3-9099-C40C66FF867C}">
                  <a14:compatExt spid="_x0000_s7802"/>
                </a:ext>
                <a:ext uri="{FF2B5EF4-FFF2-40B4-BE49-F238E27FC236}">
                  <a16:creationId xmlns:a16="http://schemas.microsoft.com/office/drawing/2014/main" id="{00000000-0008-0000-0100-00007A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3486150</xdr:colOff>
          <xdr:row>2</xdr:row>
          <xdr:rowOff>0</xdr:rowOff>
        </xdr:from>
        <xdr:to>
          <xdr:col>18</xdr:col>
          <xdr:colOff>4171950</xdr:colOff>
          <xdr:row>3</xdr:row>
          <xdr:rowOff>0</xdr:rowOff>
        </xdr:to>
        <xdr:sp macro="" textlink="">
          <xdr:nvSpPr>
            <xdr:cNvPr id="7803" name="ResetButton_1" hidden="1">
              <a:extLst>
                <a:ext uri="{63B3BB69-23CF-44E3-9099-C40C66FF867C}">
                  <a14:compatExt spid="_x0000_s7803"/>
                </a:ext>
                <a:ext uri="{FF2B5EF4-FFF2-40B4-BE49-F238E27FC236}">
                  <a16:creationId xmlns:a16="http://schemas.microsoft.com/office/drawing/2014/main" id="{00000000-0008-0000-0100-00007B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4171950</xdr:colOff>
          <xdr:row>2</xdr:row>
          <xdr:rowOff>0</xdr:rowOff>
        </xdr:from>
        <xdr:to>
          <xdr:col>19</xdr:col>
          <xdr:colOff>266700</xdr:colOff>
          <xdr:row>3</xdr:row>
          <xdr:rowOff>0</xdr:rowOff>
        </xdr:to>
        <xdr:sp macro="" textlink="">
          <xdr:nvSpPr>
            <xdr:cNvPr id="7804" name="RecalculateButton_1" hidden="1">
              <a:extLst>
                <a:ext uri="{63B3BB69-23CF-44E3-9099-C40C66FF867C}">
                  <a14:compatExt spid="_x0000_s7804"/>
                </a:ext>
                <a:ext uri="{FF2B5EF4-FFF2-40B4-BE49-F238E27FC236}">
                  <a16:creationId xmlns:a16="http://schemas.microsoft.com/office/drawing/2014/main" id="{00000000-0008-0000-0100-00007C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再計算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H16K148/wbs-template-xlsm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H16K148/wbs-template-xlsm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D5251-16E0-42BC-806F-2B7E60A04AC0}">
  <sheetPr codeName="Sheet13"/>
  <dimension ref="A1:AP159"/>
  <sheetViews>
    <sheetView tabSelected="1" workbookViewId="0">
      <pane xSplit="31" ySplit="7" topLeftCell="AF8" activePane="bottomRight" state="frozen"/>
      <selection pane="topRight" activeCell="AF1" sqref="AF1"/>
      <selection pane="bottomLeft" activeCell="A8" sqref="A8"/>
      <selection pane="bottomRight" activeCell="Y20" sqref="Y20"/>
    </sheetView>
  </sheetViews>
  <sheetFormatPr defaultRowHeight="18" customHeight="1"/>
  <cols>
    <col min="1" max="1" width="0.125" style="60" customWidth="1"/>
    <col min="2" max="10" width="3.625" style="60" customWidth="1"/>
    <col min="11" max="17" width="3.625" style="60" hidden="1" customWidth="1"/>
    <col min="18" max="18" width="3.625" style="60" customWidth="1"/>
    <col min="19" max="24" width="2.125" style="60" customWidth="1"/>
    <col min="25" max="25" width="60.625" style="60" customWidth="1"/>
    <col min="26" max="27" width="5.625" style="60" customWidth="1"/>
    <col min="28" max="28" width="8.625" style="60" customWidth="1"/>
    <col min="29" max="30" width="8.125" style="60" customWidth="1"/>
    <col min="31" max="31" width="5.625" style="60" customWidth="1"/>
    <col min="32" max="34" width="12.625" style="60" customWidth="1"/>
    <col min="35" max="35" width="8.625" style="60" customWidth="1"/>
    <col min="36" max="37" width="10.625" style="60" customWidth="1"/>
    <col min="38" max="39" width="8.625" style="60" customWidth="1"/>
    <col min="40" max="41" width="10.625" style="60" customWidth="1"/>
    <col min="42" max="42" width="50.625" style="60" customWidth="1"/>
    <col min="43" max="16384" width="9" style="60"/>
  </cols>
  <sheetData>
    <row r="1" spans="1:42" ht="3.75" customHeight="1"/>
    <row r="2" spans="1:42" ht="30" customHeight="1">
      <c r="B2" s="61" t="s">
        <v>174</v>
      </c>
      <c r="AP2" s="70" t="s">
        <v>247</v>
      </c>
    </row>
    <row r="3" spans="1:42" ht="18" customHeight="1">
      <c r="D3" s="62" t="s">
        <v>175</v>
      </c>
      <c r="AB3" s="62" t="s">
        <v>177</v>
      </c>
      <c r="AC3" s="60" t="s">
        <v>221</v>
      </c>
    </row>
    <row r="4" spans="1:42" ht="18" customHeight="1">
      <c r="D4" s="62" t="s">
        <v>176</v>
      </c>
      <c r="AB4" s="62" t="s">
        <v>178</v>
      </c>
      <c r="AC4" s="60" t="s">
        <v>222</v>
      </c>
    </row>
    <row r="5" spans="1:42" ht="18" customHeight="1">
      <c r="C5" s="66" t="s">
        <v>179</v>
      </c>
      <c r="D5" s="66" t="s">
        <v>180</v>
      </c>
      <c r="E5" s="66" t="s">
        <v>17</v>
      </c>
      <c r="F5" s="66" t="s">
        <v>181</v>
      </c>
      <c r="G5" s="66" t="s">
        <v>182</v>
      </c>
      <c r="H5" s="66" t="s">
        <v>183</v>
      </c>
      <c r="I5" s="66" t="s">
        <v>184</v>
      </c>
      <c r="J5" s="66" t="s">
        <v>185</v>
      </c>
      <c r="K5" s="66" t="s">
        <v>186</v>
      </c>
      <c r="L5" s="66" t="s">
        <v>187</v>
      </c>
      <c r="M5" s="66" t="s">
        <v>188</v>
      </c>
      <c r="N5" s="66" t="s">
        <v>189</v>
      </c>
      <c r="O5" s="66" t="s">
        <v>190</v>
      </c>
      <c r="P5" s="66" t="s">
        <v>191</v>
      </c>
      <c r="Q5" s="66" t="s">
        <v>192</v>
      </c>
      <c r="R5" s="66" t="s">
        <v>193</v>
      </c>
      <c r="S5" s="66" t="s">
        <v>17</v>
      </c>
      <c r="T5" s="66" t="s">
        <v>181</v>
      </c>
      <c r="U5" s="66" t="s">
        <v>182</v>
      </c>
      <c r="V5" s="66" t="s">
        <v>183</v>
      </c>
      <c r="W5" s="66" t="s">
        <v>184</v>
      </c>
      <c r="X5" s="66"/>
      <c r="Y5" s="66"/>
      <c r="Z5" s="67" t="s">
        <v>194</v>
      </c>
      <c r="AA5" s="67"/>
      <c r="AB5" s="64"/>
      <c r="AC5" s="64" t="s">
        <v>195</v>
      </c>
      <c r="AD5" s="65" t="s">
        <v>196</v>
      </c>
      <c r="AE5" s="65"/>
      <c r="AF5" s="64"/>
      <c r="AG5" s="64"/>
      <c r="AH5" s="64"/>
      <c r="AI5" s="65" t="s">
        <v>197</v>
      </c>
      <c r="AJ5" s="65"/>
      <c r="AK5" s="65"/>
      <c r="AL5" s="65" t="s">
        <v>198</v>
      </c>
      <c r="AM5" s="65"/>
      <c r="AN5" s="65"/>
      <c r="AO5" s="65"/>
      <c r="AP5" s="64"/>
    </row>
    <row r="6" spans="1:42" ht="18" customHeight="1">
      <c r="C6" s="68" t="s">
        <v>199</v>
      </c>
      <c r="D6" s="68"/>
      <c r="E6" s="68" t="s">
        <v>200</v>
      </c>
      <c r="F6" s="68"/>
      <c r="G6" s="68"/>
      <c r="H6" s="68"/>
      <c r="I6" s="68"/>
      <c r="J6" s="68"/>
      <c r="K6" s="63"/>
      <c r="L6" s="63"/>
      <c r="M6" s="63"/>
      <c r="N6" s="63"/>
      <c r="O6" s="63"/>
      <c r="P6" s="63"/>
      <c r="Q6" s="63"/>
      <c r="R6" s="68" t="s">
        <v>201</v>
      </c>
      <c r="S6" s="68"/>
      <c r="T6" s="68"/>
      <c r="U6" s="68"/>
      <c r="V6" s="68"/>
      <c r="W6" s="68"/>
      <c r="X6" s="68"/>
      <c r="Y6" s="68"/>
      <c r="Z6" s="63" t="s">
        <v>202</v>
      </c>
      <c r="AA6" s="63" t="s">
        <v>203</v>
      </c>
      <c r="AB6" s="63" t="s">
        <v>204</v>
      </c>
      <c r="AC6" s="63" t="s">
        <v>205</v>
      </c>
      <c r="AD6" s="63" t="s">
        <v>206</v>
      </c>
      <c r="AE6" s="63" t="s">
        <v>207</v>
      </c>
      <c r="AF6" s="63" t="s">
        <v>208</v>
      </c>
      <c r="AG6" s="63" t="s">
        <v>209</v>
      </c>
      <c r="AH6" s="63" t="s">
        <v>210</v>
      </c>
      <c r="AI6" s="63" t="s">
        <v>214</v>
      </c>
      <c r="AJ6" s="63" t="s">
        <v>211</v>
      </c>
      <c r="AK6" s="63" t="s">
        <v>212</v>
      </c>
      <c r="AL6" s="63" t="s">
        <v>215</v>
      </c>
      <c r="AM6" s="63" t="s">
        <v>216</v>
      </c>
      <c r="AN6" s="63" t="s">
        <v>211</v>
      </c>
      <c r="AO6" s="63" t="s">
        <v>212</v>
      </c>
      <c r="AP6" s="63" t="s">
        <v>213</v>
      </c>
    </row>
    <row r="7" spans="1:42" ht="18" customHeight="1">
      <c r="A7" s="60" t="s">
        <v>217</v>
      </c>
    </row>
    <row r="8" spans="1:42" ht="18" customHeight="1">
      <c r="C8" s="63" t="s">
        <v>246</v>
      </c>
      <c r="D8" s="63" t="s">
        <v>246</v>
      </c>
      <c r="E8" s="63">
        <v>1</v>
      </c>
      <c r="F8" s="63"/>
      <c r="G8" s="63"/>
      <c r="H8" s="63"/>
      <c r="I8" s="63"/>
      <c r="J8" s="63"/>
      <c r="K8" s="71" t="str">
        <f t="shared" ref="K8:K39" si="0">IF(B8="E","ERROR",IF(E8="","XXX.XXX.XXX.XXX.XXX.XXX", _xlfn.CONCAT(TEXT(E8,"000"),IF(F8="",".---", "." &amp; TEXT(F8,"000")),IF(G8="",".---", "." &amp; TEXT(G8,"000")),IF(H8="",".---", "." &amp; TEXT(H8,"000")),IF(I8="",".---", "." &amp; TEXT(I8,"000")),IF(J8="",".---", "." &amp; TEXT(J8,"000")))))</f>
        <v>001.---.---.---.---.---</v>
      </c>
      <c r="L8" s="71">
        <f t="shared" ref="L8:L39" si="1">COUNTIF(K$8:K$158,K8)</f>
        <v>1</v>
      </c>
      <c r="M8" s="71">
        <f t="shared" ref="M8:M39" si="2">IF(AND(ISNUMBER(E8),F8="",G8="",H8="",I8=""),1,IF(AND(ISNUMBER(E8),ISNUMBER(F8),G8="",H8="",I8=""),2,IF(AND(ISNUMBER(E8),ISNUMBER(F8),ISNUMBER(G8),H8="",I8=""),3,IF(AND(ISNUMBER(E8),ISNUMBER(F8),ISNUMBER(G8),ISNUMBER(H8),I8=""),4,IF(AND(ISNUMBER(E8),ISNUMBER(F8),ISNUMBER(G8),ISNUMBER(H8),ISNUMBER(I8)),5,0)))))</f>
        <v>1</v>
      </c>
      <c r="N8" s="71" t="b">
        <f t="shared" ref="N8:N39" si="3">IF(AND(J8&lt;&gt;"",ISNUMBER(J8)),TRUE,FALSE)</f>
        <v>0</v>
      </c>
      <c r="O8" s="71" t="b">
        <f t="shared" ref="O8:O39" si="4">NOT(OR(AB8="移管済",AB8="棚上げ",AB8="却下"))</f>
        <v>1</v>
      </c>
      <c r="P8" s="71" t="b">
        <f t="shared" ref="P8:P39" si="5">AND(M8&gt;0,R8&lt;&gt;"",IFERROR(ISNUMBER(MATCH(IFERROR(LEFT(R8,FIND("~",SUBSTITUTE(R8,".","~",LEN(R8)-LEN(SUBSTITUTE(R8,".",""))))-1),R8),R$8:R$158,0)),FALSE))</f>
        <v>1</v>
      </c>
      <c r="Q8" s="71" t="b">
        <f t="shared" ref="Q8:Q39" si="6">AND(M8&gt;0,N8=FALSE,R8&lt;&gt;"",IFERROR(SUMPRODUCT(--(LEFT(R$8:R$158,LEN(R8&amp;"."))=R8&amp;"."))&gt;0,FALSE))</f>
        <v>1</v>
      </c>
      <c r="R8" s="71" t="str">
        <f t="shared" ref="R8:R39" si="7">IF(B8="E","ERROR",IF(E8="","",_xlfn.CONCAT(E8,IF(F8="","","."&amp;F8 ), IF(G8="","","."&amp;G8 ), IF(H8="","","."&amp;H8 ), IF(I8="","","."&amp;I8 ), IF(J8="","",".T"&amp;J8 ))))</f>
        <v>1</v>
      </c>
      <c r="S8" s="60" t="s">
        <v>223</v>
      </c>
      <c r="AB8" s="63" t="s">
        <v>244</v>
      </c>
      <c r="AC8" s="63"/>
      <c r="AD8" s="63"/>
      <c r="AE8" s="63">
        <v>1</v>
      </c>
      <c r="AJ8" s="63"/>
      <c r="AK8" s="63"/>
      <c r="AN8" s="63"/>
      <c r="AO8" s="63"/>
    </row>
    <row r="9" spans="1:42" ht="18" customHeight="1">
      <c r="C9" s="63" t="s">
        <v>246</v>
      </c>
      <c r="D9" s="63" t="s">
        <v>246</v>
      </c>
      <c r="E9" s="63">
        <v>1</v>
      </c>
      <c r="F9" s="63"/>
      <c r="G9" s="63"/>
      <c r="H9" s="63"/>
      <c r="I9" s="63"/>
      <c r="J9" s="63">
        <v>1</v>
      </c>
      <c r="K9" s="71" t="str">
        <f t="shared" si="0"/>
        <v>001.---.---.---.---.001</v>
      </c>
      <c r="L9" s="71">
        <f t="shared" si="1"/>
        <v>1</v>
      </c>
      <c r="M9" s="71">
        <f t="shared" si="2"/>
        <v>1</v>
      </c>
      <c r="N9" s="71" t="b">
        <f t="shared" si="3"/>
        <v>1</v>
      </c>
      <c r="O9" s="71" t="b">
        <f t="shared" si="4"/>
        <v>1</v>
      </c>
      <c r="P9" s="71" t="b">
        <f t="shared" si="5"/>
        <v>1</v>
      </c>
      <c r="Q9" s="71" t="b">
        <f t="shared" si="6"/>
        <v>0</v>
      </c>
      <c r="R9" s="71" t="str">
        <f t="shared" si="7"/>
        <v>1.T1</v>
      </c>
      <c r="X9" s="60" t="s">
        <v>224</v>
      </c>
      <c r="AB9" s="63" t="s">
        <v>225</v>
      </c>
      <c r="AC9" s="63"/>
      <c r="AD9" s="63"/>
      <c r="AE9" s="63">
        <v>1</v>
      </c>
      <c r="AJ9" s="63"/>
      <c r="AK9" s="63"/>
      <c r="AN9" s="63"/>
      <c r="AO9" s="63"/>
    </row>
    <row r="10" spans="1:42" ht="18" customHeight="1">
      <c r="C10" s="63" t="s">
        <v>246</v>
      </c>
      <c r="D10" s="63" t="s">
        <v>246</v>
      </c>
      <c r="E10" s="63">
        <v>1</v>
      </c>
      <c r="F10" s="63"/>
      <c r="G10" s="63"/>
      <c r="H10" s="63"/>
      <c r="I10" s="63"/>
      <c r="J10" s="63">
        <v>2</v>
      </c>
      <c r="K10" s="71" t="str">
        <f t="shared" si="0"/>
        <v>001.---.---.---.---.002</v>
      </c>
      <c r="L10" s="71">
        <f t="shared" si="1"/>
        <v>1</v>
      </c>
      <c r="M10" s="71">
        <f t="shared" si="2"/>
        <v>1</v>
      </c>
      <c r="N10" s="71" t="b">
        <f t="shared" si="3"/>
        <v>1</v>
      </c>
      <c r="O10" s="71" t="b">
        <f t="shared" si="4"/>
        <v>0</v>
      </c>
      <c r="P10" s="71" t="b">
        <f t="shared" si="5"/>
        <v>1</v>
      </c>
      <c r="Q10" s="71" t="b">
        <f t="shared" si="6"/>
        <v>0</v>
      </c>
      <c r="R10" s="71" t="str">
        <f t="shared" si="7"/>
        <v>1.T2</v>
      </c>
      <c r="X10" s="60" t="s">
        <v>226</v>
      </c>
      <c r="AB10" s="63" t="s">
        <v>227</v>
      </c>
      <c r="AC10" s="63"/>
      <c r="AD10" s="63"/>
      <c r="AE10" s="63">
        <v>1</v>
      </c>
      <c r="AJ10" s="63"/>
      <c r="AK10" s="63"/>
      <c r="AN10" s="63"/>
      <c r="AO10" s="63"/>
    </row>
    <row r="11" spans="1:42" ht="18" customHeight="1">
      <c r="C11" s="63" t="s">
        <v>246</v>
      </c>
      <c r="D11" s="63" t="s">
        <v>246</v>
      </c>
      <c r="E11" s="63">
        <v>1</v>
      </c>
      <c r="F11" s="63">
        <v>1</v>
      </c>
      <c r="G11" s="63"/>
      <c r="H11" s="63"/>
      <c r="I11" s="63"/>
      <c r="J11" s="63"/>
      <c r="K11" s="71" t="str">
        <f t="shared" si="0"/>
        <v>001.001.---.---.---.---</v>
      </c>
      <c r="L11" s="71">
        <f t="shared" si="1"/>
        <v>1</v>
      </c>
      <c r="M11" s="71">
        <f t="shared" si="2"/>
        <v>2</v>
      </c>
      <c r="N11" s="71" t="b">
        <f t="shared" si="3"/>
        <v>0</v>
      </c>
      <c r="O11" s="71" t="b">
        <f t="shared" si="4"/>
        <v>1</v>
      </c>
      <c r="P11" s="71" t="b">
        <f t="shared" si="5"/>
        <v>1</v>
      </c>
      <c r="Q11" s="71" t="b">
        <f t="shared" si="6"/>
        <v>1</v>
      </c>
      <c r="R11" s="71" t="str">
        <f t="shared" si="7"/>
        <v>1.1</v>
      </c>
      <c r="T11" s="60" t="s">
        <v>228</v>
      </c>
      <c r="AB11" s="63" t="s">
        <v>244</v>
      </c>
      <c r="AC11" s="63"/>
      <c r="AD11" s="63"/>
      <c r="AE11" s="63">
        <v>1</v>
      </c>
      <c r="AJ11" s="63"/>
      <c r="AK11" s="63"/>
      <c r="AN11" s="63"/>
      <c r="AO11" s="63"/>
    </row>
    <row r="12" spans="1:42" ht="18" customHeight="1">
      <c r="C12" s="63" t="s">
        <v>246</v>
      </c>
      <c r="D12" s="63" t="s">
        <v>246</v>
      </c>
      <c r="E12" s="63">
        <v>1</v>
      </c>
      <c r="F12" s="63">
        <v>1</v>
      </c>
      <c r="G12" s="63"/>
      <c r="H12" s="63"/>
      <c r="I12" s="63"/>
      <c r="J12" s="63">
        <v>1</v>
      </c>
      <c r="K12" s="71" t="str">
        <f t="shared" si="0"/>
        <v>001.001.---.---.---.001</v>
      </c>
      <c r="L12" s="71">
        <f t="shared" si="1"/>
        <v>1</v>
      </c>
      <c r="M12" s="71">
        <f t="shared" si="2"/>
        <v>2</v>
      </c>
      <c r="N12" s="71" t="b">
        <f t="shared" si="3"/>
        <v>1</v>
      </c>
      <c r="O12" s="71" t="b">
        <f t="shared" si="4"/>
        <v>1</v>
      </c>
      <c r="P12" s="71" t="b">
        <f t="shared" si="5"/>
        <v>1</v>
      </c>
      <c r="Q12" s="71" t="b">
        <f t="shared" si="6"/>
        <v>0</v>
      </c>
      <c r="R12" s="71" t="str">
        <f t="shared" si="7"/>
        <v>1.1.T1</v>
      </c>
      <c r="X12" s="60" t="s">
        <v>229</v>
      </c>
      <c r="AB12" s="63" t="s">
        <v>230</v>
      </c>
      <c r="AC12" s="63"/>
      <c r="AD12" s="63"/>
      <c r="AE12" s="63">
        <v>1</v>
      </c>
      <c r="AJ12" s="63"/>
      <c r="AK12" s="63"/>
      <c r="AN12" s="63"/>
      <c r="AO12" s="63"/>
    </row>
    <row r="13" spans="1:42" ht="18" customHeight="1">
      <c r="C13" s="63" t="s">
        <v>246</v>
      </c>
      <c r="D13" s="63" t="s">
        <v>246</v>
      </c>
      <c r="E13" s="63">
        <v>1</v>
      </c>
      <c r="F13" s="63">
        <v>1</v>
      </c>
      <c r="G13" s="63"/>
      <c r="H13" s="63"/>
      <c r="I13" s="63"/>
      <c r="J13" s="63">
        <v>2</v>
      </c>
      <c r="K13" s="71" t="str">
        <f t="shared" si="0"/>
        <v>001.001.---.---.---.002</v>
      </c>
      <c r="L13" s="71">
        <f t="shared" si="1"/>
        <v>1</v>
      </c>
      <c r="M13" s="71">
        <f t="shared" si="2"/>
        <v>2</v>
      </c>
      <c r="N13" s="71" t="b">
        <f t="shared" si="3"/>
        <v>1</v>
      </c>
      <c r="O13" s="71" t="b">
        <f t="shared" si="4"/>
        <v>0</v>
      </c>
      <c r="P13" s="71" t="b">
        <f t="shared" si="5"/>
        <v>1</v>
      </c>
      <c r="Q13" s="71" t="b">
        <f t="shared" si="6"/>
        <v>0</v>
      </c>
      <c r="R13" s="71" t="str">
        <f t="shared" si="7"/>
        <v>1.1.T2</v>
      </c>
      <c r="X13" s="60" t="s">
        <v>231</v>
      </c>
      <c r="AB13" s="63" t="s">
        <v>232</v>
      </c>
      <c r="AC13" s="63"/>
      <c r="AD13" s="63"/>
      <c r="AE13" s="63">
        <v>1</v>
      </c>
      <c r="AJ13" s="63"/>
      <c r="AK13" s="63"/>
      <c r="AN13" s="63"/>
      <c r="AO13" s="63"/>
    </row>
    <row r="14" spans="1:42" ht="18" customHeight="1">
      <c r="C14" s="63" t="s">
        <v>246</v>
      </c>
      <c r="D14" s="63" t="s">
        <v>246</v>
      </c>
      <c r="E14" s="63">
        <v>1</v>
      </c>
      <c r="F14" s="63">
        <v>1</v>
      </c>
      <c r="G14" s="63">
        <v>1</v>
      </c>
      <c r="H14" s="63"/>
      <c r="I14" s="63"/>
      <c r="J14" s="63"/>
      <c r="K14" s="71" t="str">
        <f t="shared" si="0"/>
        <v>001.001.001.---.---.---</v>
      </c>
      <c r="L14" s="71">
        <f t="shared" si="1"/>
        <v>1</v>
      </c>
      <c r="M14" s="71">
        <f t="shared" si="2"/>
        <v>3</v>
      </c>
      <c r="N14" s="71" t="b">
        <f t="shared" si="3"/>
        <v>0</v>
      </c>
      <c r="O14" s="71" t="b">
        <f t="shared" si="4"/>
        <v>1</v>
      </c>
      <c r="P14" s="71" t="b">
        <f t="shared" si="5"/>
        <v>1</v>
      </c>
      <c r="Q14" s="71" t="b">
        <f t="shared" si="6"/>
        <v>1</v>
      </c>
      <c r="R14" s="71" t="str">
        <f t="shared" si="7"/>
        <v>1.1.1</v>
      </c>
      <c r="U14" s="60" t="s">
        <v>233</v>
      </c>
      <c r="AB14" s="63" t="s">
        <v>244</v>
      </c>
      <c r="AC14" s="63"/>
      <c r="AD14" s="63"/>
      <c r="AE14" s="63">
        <v>1</v>
      </c>
      <c r="AJ14" s="63"/>
      <c r="AK14" s="63"/>
      <c r="AN14" s="63"/>
      <c r="AO14" s="63"/>
    </row>
    <row r="15" spans="1:42" ht="18" customHeight="1">
      <c r="C15" s="63" t="s">
        <v>246</v>
      </c>
      <c r="D15" s="63" t="s">
        <v>246</v>
      </c>
      <c r="E15" s="63">
        <v>1</v>
      </c>
      <c r="F15" s="63">
        <v>1</v>
      </c>
      <c r="G15" s="63">
        <v>1</v>
      </c>
      <c r="H15" s="63"/>
      <c r="I15" s="63"/>
      <c r="J15" s="63">
        <v>1</v>
      </c>
      <c r="K15" s="71" t="str">
        <f t="shared" si="0"/>
        <v>001.001.001.---.---.001</v>
      </c>
      <c r="L15" s="71">
        <f t="shared" si="1"/>
        <v>1</v>
      </c>
      <c r="M15" s="71">
        <f t="shared" si="2"/>
        <v>3</v>
      </c>
      <c r="N15" s="71" t="b">
        <f t="shared" si="3"/>
        <v>1</v>
      </c>
      <c r="O15" s="71" t="b">
        <f t="shared" si="4"/>
        <v>0</v>
      </c>
      <c r="P15" s="71" t="b">
        <f t="shared" si="5"/>
        <v>1</v>
      </c>
      <c r="Q15" s="71" t="b">
        <f t="shared" si="6"/>
        <v>0</v>
      </c>
      <c r="R15" s="71" t="str">
        <f t="shared" si="7"/>
        <v>1.1.1.T1</v>
      </c>
      <c r="X15" s="60" t="s">
        <v>234</v>
      </c>
      <c r="AB15" s="63" t="s">
        <v>235</v>
      </c>
      <c r="AC15" s="63"/>
      <c r="AD15" s="63"/>
      <c r="AE15" s="63">
        <v>1</v>
      </c>
      <c r="AJ15" s="63"/>
      <c r="AK15" s="63"/>
      <c r="AN15" s="63"/>
      <c r="AO15" s="63"/>
    </row>
    <row r="16" spans="1:42" ht="18" customHeight="1">
      <c r="C16" s="63" t="s">
        <v>246</v>
      </c>
      <c r="D16" s="63" t="s">
        <v>246</v>
      </c>
      <c r="E16" s="63">
        <v>1</v>
      </c>
      <c r="F16" s="63">
        <v>1</v>
      </c>
      <c r="G16" s="63">
        <v>1</v>
      </c>
      <c r="H16" s="63"/>
      <c r="I16" s="63"/>
      <c r="J16" s="63">
        <v>2</v>
      </c>
      <c r="K16" s="71" t="str">
        <f t="shared" si="0"/>
        <v>001.001.001.---.---.002</v>
      </c>
      <c r="L16" s="71">
        <f t="shared" si="1"/>
        <v>1</v>
      </c>
      <c r="M16" s="71">
        <f t="shared" si="2"/>
        <v>3</v>
      </c>
      <c r="N16" s="71" t="b">
        <f t="shared" si="3"/>
        <v>1</v>
      </c>
      <c r="O16" s="71" t="b">
        <f t="shared" si="4"/>
        <v>1</v>
      </c>
      <c r="P16" s="71" t="b">
        <f t="shared" si="5"/>
        <v>1</v>
      </c>
      <c r="Q16" s="71" t="b">
        <f t="shared" si="6"/>
        <v>0</v>
      </c>
      <c r="R16" s="71" t="str">
        <f t="shared" si="7"/>
        <v>1.1.1.T2</v>
      </c>
      <c r="X16" s="60" t="s">
        <v>236</v>
      </c>
      <c r="AB16" s="63" t="s">
        <v>237</v>
      </c>
      <c r="AC16" s="63"/>
      <c r="AD16" s="63"/>
      <c r="AE16" s="63">
        <v>1</v>
      </c>
      <c r="AJ16" s="63"/>
      <c r="AK16" s="63"/>
      <c r="AN16" s="63"/>
      <c r="AO16" s="63"/>
    </row>
    <row r="17" spans="3:41" ht="18" customHeight="1">
      <c r="C17" s="63" t="s">
        <v>246</v>
      </c>
      <c r="D17" s="63" t="s">
        <v>246</v>
      </c>
      <c r="E17" s="63">
        <v>1</v>
      </c>
      <c r="F17" s="63">
        <v>1</v>
      </c>
      <c r="G17" s="63">
        <v>1</v>
      </c>
      <c r="H17" s="63">
        <v>1</v>
      </c>
      <c r="I17" s="63"/>
      <c r="J17" s="63"/>
      <c r="K17" s="71" t="str">
        <f t="shared" si="0"/>
        <v>001.001.001.001.---.---</v>
      </c>
      <c r="L17" s="71">
        <f t="shared" si="1"/>
        <v>1</v>
      </c>
      <c r="M17" s="71">
        <f t="shared" si="2"/>
        <v>4</v>
      </c>
      <c r="N17" s="71" t="b">
        <f t="shared" si="3"/>
        <v>0</v>
      </c>
      <c r="O17" s="71" t="b">
        <f t="shared" si="4"/>
        <v>1</v>
      </c>
      <c r="P17" s="71" t="b">
        <f t="shared" si="5"/>
        <v>1</v>
      </c>
      <c r="Q17" s="71" t="b">
        <f t="shared" si="6"/>
        <v>1</v>
      </c>
      <c r="R17" s="71" t="str">
        <f t="shared" si="7"/>
        <v>1.1.1.1</v>
      </c>
      <c r="AB17" s="63" t="s">
        <v>244</v>
      </c>
      <c r="AC17" s="63"/>
      <c r="AD17" s="63"/>
      <c r="AE17" s="63">
        <v>1</v>
      </c>
      <c r="AJ17" s="63"/>
      <c r="AK17" s="63"/>
      <c r="AN17" s="63"/>
      <c r="AO17" s="63"/>
    </row>
    <row r="18" spans="3:41" ht="18" customHeight="1">
      <c r="C18" s="63" t="s">
        <v>246</v>
      </c>
      <c r="D18" s="63" t="s">
        <v>246</v>
      </c>
      <c r="E18" s="63">
        <v>1</v>
      </c>
      <c r="F18" s="63">
        <v>1</v>
      </c>
      <c r="G18" s="63">
        <v>1</v>
      </c>
      <c r="H18" s="63">
        <v>1</v>
      </c>
      <c r="I18" s="63"/>
      <c r="J18" s="63">
        <v>1</v>
      </c>
      <c r="K18" s="71" t="str">
        <f t="shared" si="0"/>
        <v>001.001.001.001.---.001</v>
      </c>
      <c r="L18" s="71">
        <f t="shared" si="1"/>
        <v>1</v>
      </c>
      <c r="M18" s="71">
        <f t="shared" si="2"/>
        <v>4</v>
      </c>
      <c r="N18" s="71" t="b">
        <f t="shared" si="3"/>
        <v>1</v>
      </c>
      <c r="O18" s="71" t="b">
        <f t="shared" si="4"/>
        <v>1</v>
      </c>
      <c r="P18" s="71" t="b">
        <f t="shared" si="5"/>
        <v>1</v>
      </c>
      <c r="Q18" s="71" t="b">
        <f t="shared" si="6"/>
        <v>0</v>
      </c>
      <c r="R18" s="71" t="str">
        <f t="shared" si="7"/>
        <v>1.1.1.1.T1</v>
      </c>
      <c r="V18" s="60" t="s">
        <v>238</v>
      </c>
      <c r="X18" s="60" t="s">
        <v>239</v>
      </c>
      <c r="AB18" s="63" t="s">
        <v>203</v>
      </c>
      <c r="AC18" s="63"/>
      <c r="AD18" s="63"/>
      <c r="AE18" s="63">
        <v>1</v>
      </c>
      <c r="AJ18" s="63"/>
      <c r="AK18" s="63"/>
      <c r="AN18" s="63"/>
      <c r="AO18" s="63"/>
    </row>
    <row r="19" spans="3:41" ht="18" customHeight="1">
      <c r="C19" s="63" t="s">
        <v>246</v>
      </c>
      <c r="D19" s="63" t="s">
        <v>246</v>
      </c>
      <c r="E19" s="63">
        <v>1</v>
      </c>
      <c r="F19" s="63">
        <v>1</v>
      </c>
      <c r="G19" s="63">
        <v>1</v>
      </c>
      <c r="H19" s="63">
        <v>1</v>
      </c>
      <c r="I19" s="63"/>
      <c r="J19" s="63">
        <v>2</v>
      </c>
      <c r="K19" s="71" t="str">
        <f t="shared" si="0"/>
        <v>001.001.001.001.---.002</v>
      </c>
      <c r="L19" s="71">
        <f t="shared" si="1"/>
        <v>1</v>
      </c>
      <c r="M19" s="71">
        <f t="shared" si="2"/>
        <v>4</v>
      </c>
      <c r="N19" s="71" t="b">
        <f t="shared" si="3"/>
        <v>1</v>
      </c>
      <c r="O19" s="71" t="b">
        <f t="shared" si="4"/>
        <v>1</v>
      </c>
      <c r="P19" s="71" t="b">
        <f t="shared" si="5"/>
        <v>1</v>
      </c>
      <c r="Q19" s="71" t="b">
        <f t="shared" si="6"/>
        <v>0</v>
      </c>
      <c r="R19" s="71" t="str">
        <f t="shared" si="7"/>
        <v>1.1.1.1.T2</v>
      </c>
      <c r="X19" s="60" t="s">
        <v>240</v>
      </c>
      <c r="AB19" s="63" t="s">
        <v>241</v>
      </c>
      <c r="AC19" s="63"/>
      <c r="AD19" s="63"/>
      <c r="AE19" s="63">
        <v>1</v>
      </c>
      <c r="AJ19" s="63"/>
      <c r="AK19" s="63"/>
      <c r="AN19" s="63"/>
      <c r="AO19" s="63"/>
    </row>
    <row r="20" spans="3:41" ht="18" customHeight="1">
      <c r="C20" s="63" t="s">
        <v>246</v>
      </c>
      <c r="D20" s="63" t="s">
        <v>246</v>
      </c>
      <c r="E20" s="63">
        <v>1</v>
      </c>
      <c r="F20" s="63">
        <v>1</v>
      </c>
      <c r="G20" s="63">
        <v>1</v>
      </c>
      <c r="H20" s="63">
        <v>1</v>
      </c>
      <c r="I20" s="63">
        <v>1</v>
      </c>
      <c r="J20" s="63"/>
      <c r="K20" s="71" t="str">
        <f t="shared" si="0"/>
        <v>001.001.001.001.001.---</v>
      </c>
      <c r="L20" s="71">
        <f t="shared" si="1"/>
        <v>1</v>
      </c>
      <c r="M20" s="71">
        <f t="shared" si="2"/>
        <v>5</v>
      </c>
      <c r="N20" s="71" t="b">
        <f t="shared" si="3"/>
        <v>0</v>
      </c>
      <c r="O20" s="71" t="b">
        <f t="shared" si="4"/>
        <v>1</v>
      </c>
      <c r="P20" s="71" t="b">
        <f t="shared" si="5"/>
        <v>1</v>
      </c>
      <c r="Q20" s="71" t="b">
        <f t="shared" si="6"/>
        <v>1</v>
      </c>
      <c r="R20" s="71" t="str">
        <f t="shared" si="7"/>
        <v>1.1.1.1.1</v>
      </c>
      <c r="W20" s="60" t="s">
        <v>242</v>
      </c>
      <c r="AB20" s="63" t="s">
        <v>244</v>
      </c>
      <c r="AC20" s="63"/>
      <c r="AD20" s="63"/>
      <c r="AE20" s="63">
        <v>1</v>
      </c>
      <c r="AJ20" s="63"/>
      <c r="AK20" s="63"/>
      <c r="AN20" s="63"/>
      <c r="AO20" s="63"/>
    </row>
    <row r="21" spans="3:41" ht="18" customHeight="1">
      <c r="C21" s="63" t="s">
        <v>246</v>
      </c>
      <c r="D21" s="63" t="s">
        <v>246</v>
      </c>
      <c r="E21" s="63">
        <v>1</v>
      </c>
      <c r="F21" s="63">
        <v>1</v>
      </c>
      <c r="G21" s="63">
        <v>1</v>
      </c>
      <c r="H21" s="63">
        <v>1</v>
      </c>
      <c r="I21" s="63">
        <v>1</v>
      </c>
      <c r="J21" s="63">
        <v>1</v>
      </c>
      <c r="K21" s="71" t="str">
        <f t="shared" si="0"/>
        <v>001.001.001.001.001.001</v>
      </c>
      <c r="L21" s="71">
        <f t="shared" si="1"/>
        <v>1</v>
      </c>
      <c r="M21" s="71">
        <f t="shared" si="2"/>
        <v>5</v>
      </c>
      <c r="N21" s="71" t="b">
        <f t="shared" si="3"/>
        <v>1</v>
      </c>
      <c r="O21" s="71" t="b">
        <f t="shared" si="4"/>
        <v>1</v>
      </c>
      <c r="P21" s="71" t="b">
        <f t="shared" si="5"/>
        <v>1</v>
      </c>
      <c r="Q21" s="71" t="b">
        <f t="shared" si="6"/>
        <v>0</v>
      </c>
      <c r="R21" s="71" t="str">
        <f t="shared" si="7"/>
        <v>1.1.1.1.1.T1</v>
      </c>
      <c r="X21" s="60" t="s">
        <v>243</v>
      </c>
      <c r="AB21" s="63" t="s">
        <v>244</v>
      </c>
      <c r="AC21" s="63"/>
      <c r="AD21" s="63"/>
      <c r="AE21" s="63">
        <v>1</v>
      </c>
      <c r="AJ21" s="63"/>
      <c r="AK21" s="63"/>
      <c r="AN21" s="63"/>
      <c r="AO21" s="63"/>
    </row>
    <row r="22" spans="3:41" ht="18" customHeight="1">
      <c r="C22" s="63" t="s">
        <v>246</v>
      </c>
      <c r="D22" s="63" t="s">
        <v>246</v>
      </c>
      <c r="E22" s="63">
        <v>1</v>
      </c>
      <c r="F22" s="63">
        <v>1</v>
      </c>
      <c r="G22" s="63">
        <v>1</v>
      </c>
      <c r="H22" s="63">
        <v>1</v>
      </c>
      <c r="I22" s="63">
        <v>1</v>
      </c>
      <c r="J22" s="63">
        <v>2</v>
      </c>
      <c r="K22" s="71" t="str">
        <f t="shared" si="0"/>
        <v>001.001.001.001.001.002</v>
      </c>
      <c r="L22" s="71">
        <f t="shared" si="1"/>
        <v>1</v>
      </c>
      <c r="M22" s="71">
        <f t="shared" si="2"/>
        <v>5</v>
      </c>
      <c r="N22" s="71" t="b">
        <f t="shared" si="3"/>
        <v>1</v>
      </c>
      <c r="O22" s="71" t="b">
        <f t="shared" si="4"/>
        <v>1</v>
      </c>
      <c r="P22" s="71" t="b">
        <f t="shared" si="5"/>
        <v>1</v>
      </c>
      <c r="Q22" s="71" t="b">
        <f t="shared" si="6"/>
        <v>0</v>
      </c>
      <c r="R22" s="71" t="str">
        <f t="shared" si="7"/>
        <v>1.1.1.1.1.T2</v>
      </c>
      <c r="X22" s="60" t="s">
        <v>245</v>
      </c>
      <c r="AB22" s="63" t="s">
        <v>244</v>
      </c>
      <c r="AC22" s="63"/>
      <c r="AD22" s="63"/>
      <c r="AE22" s="63">
        <v>1</v>
      </c>
      <c r="AJ22" s="63"/>
      <c r="AK22" s="63"/>
      <c r="AN22" s="63"/>
      <c r="AO22" s="63"/>
    </row>
    <row r="23" spans="3:41" ht="18" customHeight="1">
      <c r="C23" s="63" t="s">
        <v>246</v>
      </c>
      <c r="D23" s="63" t="s">
        <v>246</v>
      </c>
      <c r="E23" s="63">
        <v>1</v>
      </c>
      <c r="F23" s="63">
        <v>1</v>
      </c>
      <c r="G23" s="63">
        <v>1</v>
      </c>
      <c r="H23" s="63">
        <v>1</v>
      </c>
      <c r="I23" s="63">
        <v>2</v>
      </c>
      <c r="J23" s="63"/>
      <c r="K23" s="71" t="str">
        <f t="shared" si="0"/>
        <v>001.001.001.001.002.---</v>
      </c>
      <c r="L23" s="71">
        <f t="shared" si="1"/>
        <v>1</v>
      </c>
      <c r="M23" s="71">
        <f t="shared" si="2"/>
        <v>5</v>
      </c>
      <c r="N23" s="71" t="b">
        <f t="shared" si="3"/>
        <v>0</v>
      </c>
      <c r="O23" s="71" t="b">
        <f t="shared" si="4"/>
        <v>1</v>
      </c>
      <c r="P23" s="71" t="b">
        <f t="shared" si="5"/>
        <v>1</v>
      </c>
      <c r="Q23" s="71" t="b">
        <f t="shared" si="6"/>
        <v>1</v>
      </c>
      <c r="R23" s="71" t="str">
        <f t="shared" si="7"/>
        <v>1.1.1.1.2</v>
      </c>
      <c r="AB23" s="63" t="s">
        <v>244</v>
      </c>
      <c r="AC23" s="63"/>
      <c r="AD23" s="63"/>
      <c r="AE23" s="63">
        <v>1</v>
      </c>
      <c r="AJ23" s="63"/>
      <c r="AK23" s="63"/>
      <c r="AN23" s="63"/>
      <c r="AO23" s="63"/>
    </row>
    <row r="24" spans="3:41" ht="18" customHeight="1">
      <c r="C24" s="63" t="s">
        <v>246</v>
      </c>
      <c r="D24" s="63" t="s">
        <v>246</v>
      </c>
      <c r="E24" s="63">
        <v>1</v>
      </c>
      <c r="F24" s="63">
        <v>1</v>
      </c>
      <c r="G24" s="63">
        <v>1</v>
      </c>
      <c r="H24" s="63">
        <v>1</v>
      </c>
      <c r="I24" s="63">
        <v>2</v>
      </c>
      <c r="J24" s="63">
        <v>1</v>
      </c>
      <c r="K24" s="71" t="str">
        <f t="shared" si="0"/>
        <v>001.001.001.001.002.001</v>
      </c>
      <c r="L24" s="71">
        <f t="shared" si="1"/>
        <v>1</v>
      </c>
      <c r="M24" s="71">
        <f t="shared" si="2"/>
        <v>5</v>
      </c>
      <c r="N24" s="71" t="b">
        <f t="shared" si="3"/>
        <v>1</v>
      </c>
      <c r="O24" s="71" t="b">
        <f t="shared" si="4"/>
        <v>1</v>
      </c>
      <c r="P24" s="71" t="b">
        <f t="shared" si="5"/>
        <v>1</v>
      </c>
      <c r="Q24" s="71" t="b">
        <f t="shared" si="6"/>
        <v>0</v>
      </c>
      <c r="R24" s="71" t="str">
        <f t="shared" si="7"/>
        <v>1.1.1.1.2.T1</v>
      </c>
      <c r="X24" s="60" t="s">
        <v>243</v>
      </c>
      <c r="AB24" s="63" t="s">
        <v>244</v>
      </c>
      <c r="AC24" s="63"/>
      <c r="AD24" s="63"/>
      <c r="AE24" s="63">
        <v>1</v>
      </c>
      <c r="AJ24" s="63"/>
      <c r="AK24" s="63"/>
      <c r="AN24" s="63"/>
      <c r="AO24" s="63"/>
    </row>
    <row r="25" spans="3:41" ht="18" customHeight="1">
      <c r="C25" s="63" t="s">
        <v>246</v>
      </c>
      <c r="D25" s="63" t="s">
        <v>246</v>
      </c>
      <c r="E25" s="63">
        <v>1</v>
      </c>
      <c r="F25" s="63">
        <v>1</v>
      </c>
      <c r="G25" s="63">
        <v>1</v>
      </c>
      <c r="H25" s="63">
        <v>1</v>
      </c>
      <c r="I25" s="63">
        <v>2</v>
      </c>
      <c r="J25" s="63">
        <v>2</v>
      </c>
      <c r="K25" s="71" t="str">
        <f t="shared" si="0"/>
        <v>001.001.001.001.002.002</v>
      </c>
      <c r="L25" s="71">
        <f t="shared" si="1"/>
        <v>1</v>
      </c>
      <c r="M25" s="71">
        <f t="shared" si="2"/>
        <v>5</v>
      </c>
      <c r="N25" s="71" t="b">
        <f t="shared" si="3"/>
        <v>1</v>
      </c>
      <c r="O25" s="71" t="b">
        <f t="shared" si="4"/>
        <v>1</v>
      </c>
      <c r="P25" s="71" t="b">
        <f t="shared" si="5"/>
        <v>1</v>
      </c>
      <c r="Q25" s="71" t="b">
        <f t="shared" si="6"/>
        <v>0</v>
      </c>
      <c r="R25" s="71" t="str">
        <f t="shared" si="7"/>
        <v>1.1.1.1.2.T2</v>
      </c>
      <c r="X25" s="60" t="s">
        <v>245</v>
      </c>
      <c r="AB25" s="63" t="s">
        <v>244</v>
      </c>
      <c r="AC25" s="63"/>
      <c r="AD25" s="63"/>
      <c r="AE25" s="63">
        <v>1</v>
      </c>
      <c r="AJ25" s="63"/>
      <c r="AK25" s="63"/>
      <c r="AN25" s="63"/>
      <c r="AO25" s="63"/>
    </row>
    <row r="26" spans="3:41" ht="18" customHeight="1">
      <c r="C26" s="63" t="s">
        <v>246</v>
      </c>
      <c r="D26" s="63" t="s">
        <v>246</v>
      </c>
      <c r="E26" s="63">
        <v>1</v>
      </c>
      <c r="F26" s="63">
        <v>1</v>
      </c>
      <c r="G26" s="63">
        <v>1</v>
      </c>
      <c r="H26" s="63">
        <v>2</v>
      </c>
      <c r="I26" s="63"/>
      <c r="J26" s="63"/>
      <c r="K26" s="71" t="str">
        <f t="shared" si="0"/>
        <v>001.001.001.002.---.---</v>
      </c>
      <c r="L26" s="71">
        <f t="shared" si="1"/>
        <v>1</v>
      </c>
      <c r="M26" s="71">
        <f t="shared" si="2"/>
        <v>4</v>
      </c>
      <c r="N26" s="71" t="b">
        <f t="shared" si="3"/>
        <v>0</v>
      </c>
      <c r="O26" s="71" t="b">
        <f t="shared" si="4"/>
        <v>1</v>
      </c>
      <c r="P26" s="71" t="b">
        <f t="shared" si="5"/>
        <v>1</v>
      </c>
      <c r="Q26" s="71" t="b">
        <f t="shared" si="6"/>
        <v>1</v>
      </c>
      <c r="R26" s="71" t="str">
        <f t="shared" si="7"/>
        <v>1.1.1.2</v>
      </c>
      <c r="AB26" s="63" t="s">
        <v>244</v>
      </c>
      <c r="AC26" s="63"/>
      <c r="AD26" s="63"/>
      <c r="AE26" s="63">
        <v>1</v>
      </c>
      <c r="AJ26" s="63"/>
      <c r="AK26" s="63"/>
      <c r="AN26" s="63"/>
      <c r="AO26" s="63"/>
    </row>
    <row r="27" spans="3:41" ht="18" customHeight="1">
      <c r="C27" s="63" t="s">
        <v>246</v>
      </c>
      <c r="D27" s="63" t="s">
        <v>246</v>
      </c>
      <c r="E27" s="63">
        <v>1</v>
      </c>
      <c r="F27" s="63">
        <v>1</v>
      </c>
      <c r="G27" s="63">
        <v>1</v>
      </c>
      <c r="H27" s="63">
        <v>2</v>
      </c>
      <c r="I27" s="63"/>
      <c r="J27" s="63">
        <v>1</v>
      </c>
      <c r="K27" s="71" t="str">
        <f t="shared" si="0"/>
        <v>001.001.001.002.---.001</v>
      </c>
      <c r="L27" s="71">
        <f t="shared" si="1"/>
        <v>1</v>
      </c>
      <c r="M27" s="71">
        <f t="shared" si="2"/>
        <v>4</v>
      </c>
      <c r="N27" s="71" t="b">
        <f t="shared" si="3"/>
        <v>1</v>
      </c>
      <c r="O27" s="71" t="b">
        <f t="shared" si="4"/>
        <v>1</v>
      </c>
      <c r="P27" s="71" t="b">
        <f t="shared" si="5"/>
        <v>1</v>
      </c>
      <c r="Q27" s="71" t="b">
        <f t="shared" si="6"/>
        <v>0</v>
      </c>
      <c r="R27" s="71" t="str">
        <f t="shared" si="7"/>
        <v>1.1.1.2.T1</v>
      </c>
      <c r="X27" s="60" t="s">
        <v>239</v>
      </c>
      <c r="AB27" s="63" t="s">
        <v>203</v>
      </c>
      <c r="AC27" s="63"/>
      <c r="AD27" s="63"/>
      <c r="AE27" s="63">
        <v>1</v>
      </c>
      <c r="AJ27" s="63"/>
      <c r="AK27" s="63"/>
      <c r="AN27" s="63"/>
      <c r="AO27" s="63"/>
    </row>
    <row r="28" spans="3:41" ht="18" customHeight="1">
      <c r="C28" s="63" t="s">
        <v>246</v>
      </c>
      <c r="D28" s="63" t="s">
        <v>246</v>
      </c>
      <c r="E28" s="63">
        <v>1</v>
      </c>
      <c r="F28" s="63">
        <v>1</v>
      </c>
      <c r="G28" s="63">
        <v>1</v>
      </c>
      <c r="H28" s="63">
        <v>2</v>
      </c>
      <c r="I28" s="63"/>
      <c r="J28" s="63">
        <v>2</v>
      </c>
      <c r="K28" s="71" t="str">
        <f t="shared" si="0"/>
        <v>001.001.001.002.---.002</v>
      </c>
      <c r="L28" s="71">
        <f t="shared" si="1"/>
        <v>1</v>
      </c>
      <c r="M28" s="71">
        <f t="shared" si="2"/>
        <v>4</v>
      </c>
      <c r="N28" s="71" t="b">
        <f t="shared" si="3"/>
        <v>1</v>
      </c>
      <c r="O28" s="71" t="b">
        <f t="shared" si="4"/>
        <v>1</v>
      </c>
      <c r="P28" s="71" t="b">
        <f t="shared" si="5"/>
        <v>1</v>
      </c>
      <c r="Q28" s="71" t="b">
        <f t="shared" si="6"/>
        <v>0</v>
      </c>
      <c r="R28" s="71" t="str">
        <f t="shared" si="7"/>
        <v>1.1.1.2.T2</v>
      </c>
      <c r="X28" s="60" t="s">
        <v>240</v>
      </c>
      <c r="AB28" s="63" t="s">
        <v>241</v>
      </c>
      <c r="AC28" s="63"/>
      <c r="AD28" s="63"/>
      <c r="AE28" s="63">
        <v>1</v>
      </c>
      <c r="AJ28" s="63"/>
      <c r="AK28" s="63"/>
      <c r="AN28" s="63"/>
      <c r="AO28" s="63"/>
    </row>
    <row r="29" spans="3:41" ht="18" customHeight="1">
      <c r="C29" s="63" t="s">
        <v>246</v>
      </c>
      <c r="D29" s="63" t="s">
        <v>246</v>
      </c>
      <c r="E29" s="63">
        <v>1</v>
      </c>
      <c r="F29" s="63">
        <v>1</v>
      </c>
      <c r="G29" s="63">
        <v>1</v>
      </c>
      <c r="H29" s="63">
        <v>2</v>
      </c>
      <c r="I29" s="63">
        <v>1</v>
      </c>
      <c r="J29" s="63"/>
      <c r="K29" s="71" t="str">
        <f t="shared" si="0"/>
        <v>001.001.001.002.001.---</v>
      </c>
      <c r="L29" s="71">
        <f t="shared" si="1"/>
        <v>1</v>
      </c>
      <c r="M29" s="71">
        <f t="shared" si="2"/>
        <v>5</v>
      </c>
      <c r="N29" s="71" t="b">
        <f t="shared" si="3"/>
        <v>0</v>
      </c>
      <c r="O29" s="71" t="b">
        <f t="shared" si="4"/>
        <v>1</v>
      </c>
      <c r="P29" s="71" t="b">
        <f t="shared" si="5"/>
        <v>1</v>
      </c>
      <c r="Q29" s="71" t="b">
        <f t="shared" si="6"/>
        <v>1</v>
      </c>
      <c r="R29" s="71" t="str">
        <f t="shared" si="7"/>
        <v>1.1.1.2.1</v>
      </c>
      <c r="W29" s="60" t="s">
        <v>242</v>
      </c>
      <c r="AB29" s="63" t="s">
        <v>244</v>
      </c>
      <c r="AC29" s="63"/>
      <c r="AD29" s="63"/>
      <c r="AE29" s="63">
        <v>1</v>
      </c>
      <c r="AJ29" s="63"/>
      <c r="AK29" s="63"/>
      <c r="AN29" s="63"/>
      <c r="AO29" s="63"/>
    </row>
    <row r="30" spans="3:41" ht="18" customHeight="1">
      <c r="C30" s="63" t="s">
        <v>246</v>
      </c>
      <c r="D30" s="63" t="s">
        <v>246</v>
      </c>
      <c r="E30" s="63">
        <v>1</v>
      </c>
      <c r="F30" s="63">
        <v>1</v>
      </c>
      <c r="G30" s="63">
        <v>1</v>
      </c>
      <c r="H30" s="63">
        <v>2</v>
      </c>
      <c r="I30" s="63">
        <v>1</v>
      </c>
      <c r="J30" s="63">
        <v>1</v>
      </c>
      <c r="K30" s="71" t="str">
        <f t="shared" si="0"/>
        <v>001.001.001.002.001.001</v>
      </c>
      <c r="L30" s="71">
        <f t="shared" si="1"/>
        <v>1</v>
      </c>
      <c r="M30" s="71">
        <f t="shared" si="2"/>
        <v>5</v>
      </c>
      <c r="N30" s="71" t="b">
        <f t="shared" si="3"/>
        <v>1</v>
      </c>
      <c r="O30" s="71" t="b">
        <f t="shared" si="4"/>
        <v>1</v>
      </c>
      <c r="P30" s="71" t="b">
        <f t="shared" si="5"/>
        <v>1</v>
      </c>
      <c r="Q30" s="71" t="b">
        <f t="shared" si="6"/>
        <v>0</v>
      </c>
      <c r="R30" s="71" t="str">
        <f t="shared" si="7"/>
        <v>1.1.1.2.1.T1</v>
      </c>
      <c r="X30" s="60" t="s">
        <v>243</v>
      </c>
      <c r="AB30" s="63" t="s">
        <v>244</v>
      </c>
      <c r="AC30" s="63"/>
      <c r="AD30" s="63"/>
      <c r="AE30" s="63">
        <v>1</v>
      </c>
      <c r="AJ30" s="63"/>
      <c r="AK30" s="63"/>
      <c r="AN30" s="63"/>
      <c r="AO30" s="63"/>
    </row>
    <row r="31" spans="3:41" ht="18" customHeight="1">
      <c r="C31" s="63" t="s">
        <v>246</v>
      </c>
      <c r="D31" s="63" t="s">
        <v>246</v>
      </c>
      <c r="E31" s="63">
        <v>1</v>
      </c>
      <c r="F31" s="63">
        <v>1</v>
      </c>
      <c r="G31" s="63">
        <v>1</v>
      </c>
      <c r="H31" s="63">
        <v>2</v>
      </c>
      <c r="I31" s="63">
        <v>1</v>
      </c>
      <c r="J31" s="63">
        <v>2</v>
      </c>
      <c r="K31" s="71" t="str">
        <f t="shared" si="0"/>
        <v>001.001.001.002.001.002</v>
      </c>
      <c r="L31" s="71">
        <f t="shared" si="1"/>
        <v>1</v>
      </c>
      <c r="M31" s="71">
        <f t="shared" si="2"/>
        <v>5</v>
      </c>
      <c r="N31" s="71" t="b">
        <f t="shared" si="3"/>
        <v>1</v>
      </c>
      <c r="O31" s="71" t="b">
        <f t="shared" si="4"/>
        <v>1</v>
      </c>
      <c r="P31" s="71" t="b">
        <f t="shared" si="5"/>
        <v>1</v>
      </c>
      <c r="Q31" s="71" t="b">
        <f t="shared" si="6"/>
        <v>0</v>
      </c>
      <c r="R31" s="71" t="str">
        <f t="shared" si="7"/>
        <v>1.1.1.2.1.T2</v>
      </c>
      <c r="X31" s="60" t="s">
        <v>245</v>
      </c>
      <c r="AB31" s="63" t="s">
        <v>244</v>
      </c>
      <c r="AC31" s="63"/>
      <c r="AD31" s="63"/>
      <c r="AE31" s="63">
        <v>1</v>
      </c>
      <c r="AJ31" s="63"/>
      <c r="AK31" s="63"/>
      <c r="AN31" s="63"/>
      <c r="AO31" s="63"/>
    </row>
    <row r="32" spans="3:41" ht="18" customHeight="1">
      <c r="C32" s="63" t="s">
        <v>246</v>
      </c>
      <c r="D32" s="63" t="s">
        <v>246</v>
      </c>
      <c r="E32" s="63">
        <v>1</v>
      </c>
      <c r="F32" s="63">
        <v>1</v>
      </c>
      <c r="G32" s="63">
        <v>1</v>
      </c>
      <c r="H32" s="63">
        <v>2</v>
      </c>
      <c r="I32" s="63">
        <v>2</v>
      </c>
      <c r="J32" s="63"/>
      <c r="K32" s="71" t="str">
        <f t="shared" si="0"/>
        <v>001.001.001.002.002.---</v>
      </c>
      <c r="L32" s="71">
        <f t="shared" si="1"/>
        <v>1</v>
      </c>
      <c r="M32" s="71">
        <f t="shared" si="2"/>
        <v>5</v>
      </c>
      <c r="N32" s="71" t="b">
        <f t="shared" si="3"/>
        <v>0</v>
      </c>
      <c r="O32" s="71" t="b">
        <f t="shared" si="4"/>
        <v>1</v>
      </c>
      <c r="P32" s="71" t="b">
        <f t="shared" si="5"/>
        <v>1</v>
      </c>
      <c r="Q32" s="71" t="b">
        <f t="shared" si="6"/>
        <v>1</v>
      </c>
      <c r="R32" s="71" t="str">
        <f t="shared" si="7"/>
        <v>1.1.1.2.2</v>
      </c>
      <c r="AB32" s="63" t="s">
        <v>244</v>
      </c>
      <c r="AC32" s="63"/>
      <c r="AD32" s="63"/>
      <c r="AE32" s="63">
        <v>1</v>
      </c>
      <c r="AJ32" s="63"/>
      <c r="AK32" s="63"/>
      <c r="AN32" s="63"/>
      <c r="AO32" s="63"/>
    </row>
    <row r="33" spans="3:41" ht="18" customHeight="1">
      <c r="C33" s="63" t="s">
        <v>246</v>
      </c>
      <c r="D33" s="63" t="s">
        <v>246</v>
      </c>
      <c r="E33" s="63">
        <v>1</v>
      </c>
      <c r="F33" s="63">
        <v>1</v>
      </c>
      <c r="G33" s="63">
        <v>1</v>
      </c>
      <c r="H33" s="63">
        <v>2</v>
      </c>
      <c r="I33" s="63">
        <v>2</v>
      </c>
      <c r="J33" s="63">
        <v>1</v>
      </c>
      <c r="K33" s="71" t="str">
        <f t="shared" si="0"/>
        <v>001.001.001.002.002.001</v>
      </c>
      <c r="L33" s="71">
        <f t="shared" si="1"/>
        <v>1</v>
      </c>
      <c r="M33" s="71">
        <f t="shared" si="2"/>
        <v>5</v>
      </c>
      <c r="N33" s="71" t="b">
        <f t="shared" si="3"/>
        <v>1</v>
      </c>
      <c r="O33" s="71" t="b">
        <f t="shared" si="4"/>
        <v>1</v>
      </c>
      <c r="P33" s="71" t="b">
        <f t="shared" si="5"/>
        <v>1</v>
      </c>
      <c r="Q33" s="71" t="b">
        <f t="shared" si="6"/>
        <v>0</v>
      </c>
      <c r="R33" s="71" t="str">
        <f t="shared" si="7"/>
        <v>1.1.1.2.2.T1</v>
      </c>
      <c r="X33" s="60" t="s">
        <v>243</v>
      </c>
      <c r="AB33" s="63" t="s">
        <v>244</v>
      </c>
      <c r="AC33" s="63"/>
      <c r="AD33" s="63"/>
      <c r="AE33" s="63">
        <v>1</v>
      </c>
      <c r="AJ33" s="63"/>
      <c r="AK33" s="63"/>
      <c r="AN33" s="63"/>
      <c r="AO33" s="63"/>
    </row>
    <row r="34" spans="3:41" ht="18" customHeight="1">
      <c r="C34" s="63" t="s">
        <v>246</v>
      </c>
      <c r="D34" s="63" t="s">
        <v>246</v>
      </c>
      <c r="E34" s="63">
        <v>1</v>
      </c>
      <c r="F34" s="63">
        <v>1</v>
      </c>
      <c r="G34" s="63">
        <v>1</v>
      </c>
      <c r="H34" s="63">
        <v>2</v>
      </c>
      <c r="I34" s="63">
        <v>2</v>
      </c>
      <c r="J34" s="63">
        <v>2</v>
      </c>
      <c r="K34" s="71" t="str">
        <f t="shared" si="0"/>
        <v>001.001.001.002.002.002</v>
      </c>
      <c r="L34" s="71">
        <f t="shared" si="1"/>
        <v>1</v>
      </c>
      <c r="M34" s="71">
        <f t="shared" si="2"/>
        <v>5</v>
      </c>
      <c r="N34" s="71" t="b">
        <f t="shared" si="3"/>
        <v>1</v>
      </c>
      <c r="O34" s="71" t="b">
        <f t="shared" si="4"/>
        <v>1</v>
      </c>
      <c r="P34" s="71" t="b">
        <f t="shared" si="5"/>
        <v>1</v>
      </c>
      <c r="Q34" s="71" t="b">
        <f t="shared" si="6"/>
        <v>0</v>
      </c>
      <c r="R34" s="71" t="str">
        <f t="shared" si="7"/>
        <v>1.1.1.2.2.T2</v>
      </c>
      <c r="X34" s="60" t="s">
        <v>245</v>
      </c>
      <c r="AB34" s="63" t="s">
        <v>244</v>
      </c>
      <c r="AC34" s="63"/>
      <c r="AD34" s="63"/>
      <c r="AE34" s="63">
        <v>1</v>
      </c>
      <c r="AJ34" s="63"/>
      <c r="AK34" s="63"/>
      <c r="AN34" s="63"/>
      <c r="AO34" s="63"/>
    </row>
    <row r="35" spans="3:41" ht="18" customHeight="1">
      <c r="C35" s="63" t="s">
        <v>246</v>
      </c>
      <c r="D35" s="63" t="s">
        <v>246</v>
      </c>
      <c r="E35" s="63">
        <v>1</v>
      </c>
      <c r="F35" s="63">
        <v>1</v>
      </c>
      <c r="G35" s="63">
        <v>2</v>
      </c>
      <c r="H35" s="63"/>
      <c r="I35" s="63"/>
      <c r="J35" s="63"/>
      <c r="K35" s="71" t="str">
        <f t="shared" si="0"/>
        <v>001.001.002.---.---.---</v>
      </c>
      <c r="L35" s="71">
        <f t="shared" si="1"/>
        <v>1</v>
      </c>
      <c r="M35" s="71">
        <f t="shared" si="2"/>
        <v>3</v>
      </c>
      <c r="N35" s="71" t="b">
        <f t="shared" si="3"/>
        <v>0</v>
      </c>
      <c r="O35" s="71" t="b">
        <f t="shared" si="4"/>
        <v>1</v>
      </c>
      <c r="P35" s="71" t="b">
        <f t="shared" si="5"/>
        <v>1</v>
      </c>
      <c r="Q35" s="71" t="b">
        <f t="shared" si="6"/>
        <v>1</v>
      </c>
      <c r="R35" s="71" t="str">
        <f t="shared" si="7"/>
        <v>1.1.2</v>
      </c>
      <c r="AB35" s="63" t="s">
        <v>244</v>
      </c>
      <c r="AC35" s="63"/>
      <c r="AD35" s="63"/>
      <c r="AE35" s="63">
        <v>1</v>
      </c>
      <c r="AJ35" s="63"/>
      <c r="AK35" s="63"/>
      <c r="AN35" s="63"/>
      <c r="AO35" s="63"/>
    </row>
    <row r="36" spans="3:41" ht="18" customHeight="1">
      <c r="C36" s="63" t="s">
        <v>246</v>
      </c>
      <c r="D36" s="63" t="s">
        <v>246</v>
      </c>
      <c r="E36" s="63">
        <v>1</v>
      </c>
      <c r="F36" s="63">
        <v>1</v>
      </c>
      <c r="G36" s="63">
        <v>2</v>
      </c>
      <c r="H36" s="63"/>
      <c r="I36" s="63"/>
      <c r="J36" s="63">
        <v>1</v>
      </c>
      <c r="K36" s="71" t="str">
        <f t="shared" si="0"/>
        <v>001.001.002.---.---.001</v>
      </c>
      <c r="L36" s="71">
        <f t="shared" si="1"/>
        <v>1</v>
      </c>
      <c r="M36" s="71">
        <f t="shared" si="2"/>
        <v>3</v>
      </c>
      <c r="N36" s="71" t="b">
        <f t="shared" si="3"/>
        <v>1</v>
      </c>
      <c r="O36" s="71" t="b">
        <f t="shared" si="4"/>
        <v>0</v>
      </c>
      <c r="P36" s="71" t="b">
        <f t="shared" si="5"/>
        <v>1</v>
      </c>
      <c r="Q36" s="71" t="b">
        <f t="shared" si="6"/>
        <v>0</v>
      </c>
      <c r="R36" s="71" t="str">
        <f t="shared" si="7"/>
        <v>1.1.2.T1</v>
      </c>
      <c r="X36" s="60" t="s">
        <v>234</v>
      </c>
      <c r="AB36" s="63" t="s">
        <v>235</v>
      </c>
      <c r="AC36" s="63"/>
      <c r="AD36" s="63"/>
      <c r="AE36" s="63">
        <v>1</v>
      </c>
      <c r="AJ36" s="63"/>
      <c r="AK36" s="63"/>
      <c r="AN36" s="63"/>
      <c r="AO36" s="63"/>
    </row>
    <row r="37" spans="3:41" ht="18" customHeight="1">
      <c r="C37" s="63" t="s">
        <v>246</v>
      </c>
      <c r="D37" s="63" t="s">
        <v>246</v>
      </c>
      <c r="E37" s="63">
        <v>1</v>
      </c>
      <c r="F37" s="63">
        <v>1</v>
      </c>
      <c r="G37" s="63">
        <v>2</v>
      </c>
      <c r="H37" s="63"/>
      <c r="I37" s="63"/>
      <c r="J37" s="63">
        <v>2</v>
      </c>
      <c r="K37" s="71" t="str">
        <f t="shared" si="0"/>
        <v>001.001.002.---.---.002</v>
      </c>
      <c r="L37" s="71">
        <f t="shared" si="1"/>
        <v>1</v>
      </c>
      <c r="M37" s="71">
        <f t="shared" si="2"/>
        <v>3</v>
      </c>
      <c r="N37" s="71" t="b">
        <f t="shared" si="3"/>
        <v>1</v>
      </c>
      <c r="O37" s="71" t="b">
        <f t="shared" si="4"/>
        <v>1</v>
      </c>
      <c r="P37" s="71" t="b">
        <f t="shared" si="5"/>
        <v>1</v>
      </c>
      <c r="Q37" s="71" t="b">
        <f t="shared" si="6"/>
        <v>0</v>
      </c>
      <c r="R37" s="71" t="str">
        <f t="shared" si="7"/>
        <v>1.1.2.T2</v>
      </c>
      <c r="X37" s="60" t="s">
        <v>236</v>
      </c>
      <c r="AB37" s="63" t="s">
        <v>237</v>
      </c>
      <c r="AC37" s="63"/>
      <c r="AD37" s="63"/>
      <c r="AE37" s="63">
        <v>1</v>
      </c>
      <c r="AJ37" s="63"/>
      <c r="AK37" s="63"/>
      <c r="AN37" s="63"/>
      <c r="AO37" s="63"/>
    </row>
    <row r="38" spans="3:41" ht="18" customHeight="1">
      <c r="C38" s="63" t="s">
        <v>246</v>
      </c>
      <c r="D38" s="63" t="s">
        <v>246</v>
      </c>
      <c r="E38" s="63">
        <v>1</v>
      </c>
      <c r="F38" s="63">
        <v>1</v>
      </c>
      <c r="G38" s="63">
        <v>2</v>
      </c>
      <c r="H38" s="63">
        <v>1</v>
      </c>
      <c r="I38" s="63"/>
      <c r="J38" s="63"/>
      <c r="K38" s="71" t="str">
        <f t="shared" si="0"/>
        <v>001.001.002.001.---.---</v>
      </c>
      <c r="L38" s="71">
        <f t="shared" si="1"/>
        <v>1</v>
      </c>
      <c r="M38" s="71">
        <f t="shared" si="2"/>
        <v>4</v>
      </c>
      <c r="N38" s="71" t="b">
        <f t="shared" si="3"/>
        <v>0</v>
      </c>
      <c r="O38" s="71" t="b">
        <f t="shared" si="4"/>
        <v>1</v>
      </c>
      <c r="P38" s="71" t="b">
        <f t="shared" si="5"/>
        <v>1</v>
      </c>
      <c r="Q38" s="71" t="b">
        <f t="shared" si="6"/>
        <v>1</v>
      </c>
      <c r="R38" s="71" t="str">
        <f t="shared" si="7"/>
        <v>1.1.2.1</v>
      </c>
      <c r="AB38" s="63" t="s">
        <v>244</v>
      </c>
      <c r="AC38" s="63"/>
      <c r="AD38" s="63"/>
      <c r="AE38" s="63">
        <v>1</v>
      </c>
      <c r="AJ38" s="63"/>
      <c r="AK38" s="63"/>
      <c r="AN38" s="63"/>
      <c r="AO38" s="63"/>
    </row>
    <row r="39" spans="3:41" ht="18" customHeight="1">
      <c r="C39" s="63" t="s">
        <v>246</v>
      </c>
      <c r="D39" s="63" t="s">
        <v>246</v>
      </c>
      <c r="E39" s="63">
        <v>1</v>
      </c>
      <c r="F39" s="63">
        <v>1</v>
      </c>
      <c r="G39" s="63">
        <v>2</v>
      </c>
      <c r="H39" s="63">
        <v>1</v>
      </c>
      <c r="I39" s="63"/>
      <c r="J39" s="63">
        <v>1</v>
      </c>
      <c r="K39" s="71" t="str">
        <f t="shared" si="0"/>
        <v>001.001.002.001.---.001</v>
      </c>
      <c r="L39" s="71">
        <f t="shared" si="1"/>
        <v>1</v>
      </c>
      <c r="M39" s="71">
        <f t="shared" si="2"/>
        <v>4</v>
      </c>
      <c r="N39" s="71" t="b">
        <f t="shared" si="3"/>
        <v>1</v>
      </c>
      <c r="O39" s="71" t="b">
        <f t="shared" si="4"/>
        <v>1</v>
      </c>
      <c r="P39" s="71" t="b">
        <f t="shared" si="5"/>
        <v>1</v>
      </c>
      <c r="Q39" s="71" t="b">
        <f t="shared" si="6"/>
        <v>0</v>
      </c>
      <c r="R39" s="71" t="str">
        <f t="shared" si="7"/>
        <v>1.1.2.1.T1</v>
      </c>
      <c r="V39" s="60" t="s">
        <v>238</v>
      </c>
      <c r="X39" s="60" t="s">
        <v>239</v>
      </c>
      <c r="AB39" s="63" t="s">
        <v>203</v>
      </c>
      <c r="AC39" s="63"/>
      <c r="AD39" s="63"/>
      <c r="AE39" s="63">
        <v>1</v>
      </c>
      <c r="AJ39" s="63"/>
      <c r="AK39" s="63"/>
      <c r="AN39" s="63"/>
      <c r="AO39" s="63"/>
    </row>
    <row r="40" spans="3:41" ht="18" customHeight="1">
      <c r="C40" s="63" t="s">
        <v>246</v>
      </c>
      <c r="D40" s="63" t="s">
        <v>246</v>
      </c>
      <c r="E40" s="63">
        <v>1</v>
      </c>
      <c r="F40" s="63">
        <v>1</v>
      </c>
      <c r="G40" s="63">
        <v>2</v>
      </c>
      <c r="H40" s="63">
        <v>1</v>
      </c>
      <c r="I40" s="63"/>
      <c r="J40" s="63">
        <v>2</v>
      </c>
      <c r="K40" s="71" t="str">
        <f t="shared" ref="K40:K71" si="8">IF(B40="E","ERROR",IF(E40="","XXX.XXX.XXX.XXX.XXX.XXX", _xlfn.CONCAT(TEXT(E40,"000"),IF(F40="",".---", "." &amp; TEXT(F40,"000")),IF(G40="",".---", "." &amp; TEXT(G40,"000")),IF(H40="",".---", "." &amp; TEXT(H40,"000")),IF(I40="",".---", "." &amp; TEXT(I40,"000")),IF(J40="",".---", "." &amp; TEXT(J40,"000")))))</f>
        <v>001.001.002.001.---.002</v>
      </c>
      <c r="L40" s="71">
        <f t="shared" ref="L40:L71" si="9">COUNTIF(K$8:K$158,K40)</f>
        <v>1</v>
      </c>
      <c r="M40" s="71">
        <f t="shared" ref="M40:M71" si="10">IF(AND(ISNUMBER(E40),F40="",G40="",H40="",I40=""),1,IF(AND(ISNUMBER(E40),ISNUMBER(F40),G40="",H40="",I40=""),2,IF(AND(ISNUMBER(E40),ISNUMBER(F40),ISNUMBER(G40),H40="",I40=""),3,IF(AND(ISNUMBER(E40),ISNUMBER(F40),ISNUMBER(G40),ISNUMBER(H40),I40=""),4,IF(AND(ISNUMBER(E40),ISNUMBER(F40),ISNUMBER(G40),ISNUMBER(H40),ISNUMBER(I40)),5,0)))))</f>
        <v>4</v>
      </c>
      <c r="N40" s="71" t="b">
        <f t="shared" ref="N40:N71" si="11">IF(AND(J40&lt;&gt;"",ISNUMBER(J40)),TRUE,FALSE)</f>
        <v>1</v>
      </c>
      <c r="O40" s="71" t="b">
        <f t="shared" ref="O40:O71" si="12">NOT(OR(AB40="移管済",AB40="棚上げ",AB40="却下"))</f>
        <v>1</v>
      </c>
      <c r="P40" s="71" t="b">
        <f t="shared" ref="P40:P71" si="13">AND(M40&gt;0,R40&lt;&gt;"",IFERROR(ISNUMBER(MATCH(IFERROR(LEFT(R40,FIND("~",SUBSTITUTE(R40,".","~",LEN(R40)-LEN(SUBSTITUTE(R40,".",""))))-1),R40),R$8:R$158,0)),FALSE))</f>
        <v>1</v>
      </c>
      <c r="Q40" s="71" t="b">
        <f t="shared" ref="Q40:Q71" si="14">AND(M40&gt;0,N40=FALSE,R40&lt;&gt;"",IFERROR(SUMPRODUCT(--(LEFT(R$8:R$158,LEN(R40&amp;"."))=R40&amp;"."))&gt;0,FALSE))</f>
        <v>0</v>
      </c>
      <c r="R40" s="71" t="str">
        <f t="shared" ref="R40:R71" si="15">IF(B40="E","ERROR",IF(E40="","",_xlfn.CONCAT(E40,IF(F40="","","."&amp;F40 ), IF(G40="","","."&amp;G40 ), IF(H40="","","."&amp;H40 ), IF(I40="","","."&amp;I40 ), IF(J40="","",".T"&amp;J40 ))))</f>
        <v>1.1.2.1.T2</v>
      </c>
      <c r="X40" s="60" t="s">
        <v>240</v>
      </c>
      <c r="AB40" s="63" t="s">
        <v>241</v>
      </c>
      <c r="AC40" s="63"/>
      <c r="AD40" s="63"/>
      <c r="AE40" s="63">
        <v>1</v>
      </c>
      <c r="AJ40" s="63"/>
      <c r="AK40" s="63"/>
      <c r="AN40" s="63"/>
      <c r="AO40" s="63"/>
    </row>
    <row r="41" spans="3:41" ht="18" customHeight="1">
      <c r="C41" s="63" t="s">
        <v>246</v>
      </c>
      <c r="D41" s="63" t="s">
        <v>246</v>
      </c>
      <c r="E41" s="63">
        <v>1</v>
      </c>
      <c r="F41" s="63">
        <v>1</v>
      </c>
      <c r="G41" s="63">
        <v>2</v>
      </c>
      <c r="H41" s="63">
        <v>1</v>
      </c>
      <c r="I41" s="63">
        <v>1</v>
      </c>
      <c r="J41" s="63"/>
      <c r="K41" s="71" t="str">
        <f t="shared" si="8"/>
        <v>001.001.002.001.001.---</v>
      </c>
      <c r="L41" s="71">
        <f t="shared" si="9"/>
        <v>1</v>
      </c>
      <c r="M41" s="71">
        <f t="shared" si="10"/>
        <v>5</v>
      </c>
      <c r="N41" s="71" t="b">
        <f t="shared" si="11"/>
        <v>0</v>
      </c>
      <c r="O41" s="71" t="b">
        <f t="shared" si="12"/>
        <v>1</v>
      </c>
      <c r="P41" s="71" t="b">
        <f t="shared" si="13"/>
        <v>1</v>
      </c>
      <c r="Q41" s="71" t="b">
        <f t="shared" si="14"/>
        <v>1</v>
      </c>
      <c r="R41" s="71" t="str">
        <f t="shared" si="15"/>
        <v>1.1.2.1.1</v>
      </c>
      <c r="W41" s="60" t="s">
        <v>242</v>
      </c>
      <c r="AB41" s="63" t="s">
        <v>244</v>
      </c>
      <c r="AC41" s="63"/>
      <c r="AD41" s="63"/>
      <c r="AE41" s="63">
        <v>1</v>
      </c>
      <c r="AJ41" s="63"/>
      <c r="AK41" s="63"/>
      <c r="AN41" s="63"/>
      <c r="AO41" s="63"/>
    </row>
    <row r="42" spans="3:41" ht="18" customHeight="1">
      <c r="C42" s="63" t="s">
        <v>246</v>
      </c>
      <c r="D42" s="63" t="s">
        <v>246</v>
      </c>
      <c r="E42" s="63">
        <v>1</v>
      </c>
      <c r="F42" s="63">
        <v>1</v>
      </c>
      <c r="G42" s="63">
        <v>2</v>
      </c>
      <c r="H42" s="63">
        <v>1</v>
      </c>
      <c r="I42" s="63">
        <v>1</v>
      </c>
      <c r="J42" s="63">
        <v>1</v>
      </c>
      <c r="K42" s="71" t="str">
        <f t="shared" si="8"/>
        <v>001.001.002.001.001.001</v>
      </c>
      <c r="L42" s="71">
        <f t="shared" si="9"/>
        <v>1</v>
      </c>
      <c r="M42" s="71">
        <f t="shared" si="10"/>
        <v>5</v>
      </c>
      <c r="N42" s="71" t="b">
        <f t="shared" si="11"/>
        <v>1</v>
      </c>
      <c r="O42" s="71" t="b">
        <f t="shared" si="12"/>
        <v>1</v>
      </c>
      <c r="P42" s="71" t="b">
        <f t="shared" si="13"/>
        <v>1</v>
      </c>
      <c r="Q42" s="71" t="b">
        <f t="shared" si="14"/>
        <v>0</v>
      </c>
      <c r="R42" s="71" t="str">
        <f t="shared" si="15"/>
        <v>1.1.2.1.1.T1</v>
      </c>
      <c r="X42" s="60" t="s">
        <v>243</v>
      </c>
      <c r="AB42" s="63" t="s">
        <v>244</v>
      </c>
      <c r="AC42" s="63"/>
      <c r="AD42" s="63"/>
      <c r="AE42" s="63">
        <v>1</v>
      </c>
      <c r="AJ42" s="63"/>
      <c r="AK42" s="63"/>
      <c r="AN42" s="63"/>
      <c r="AO42" s="63"/>
    </row>
    <row r="43" spans="3:41" ht="18" customHeight="1">
      <c r="C43" s="63" t="s">
        <v>246</v>
      </c>
      <c r="D43" s="63" t="s">
        <v>246</v>
      </c>
      <c r="E43" s="63">
        <v>1</v>
      </c>
      <c r="F43" s="63">
        <v>1</v>
      </c>
      <c r="G43" s="63">
        <v>2</v>
      </c>
      <c r="H43" s="63">
        <v>1</v>
      </c>
      <c r="I43" s="63">
        <v>1</v>
      </c>
      <c r="J43" s="63">
        <v>2</v>
      </c>
      <c r="K43" s="71" t="str">
        <f t="shared" si="8"/>
        <v>001.001.002.001.001.002</v>
      </c>
      <c r="L43" s="71">
        <f t="shared" si="9"/>
        <v>1</v>
      </c>
      <c r="M43" s="71">
        <f t="shared" si="10"/>
        <v>5</v>
      </c>
      <c r="N43" s="71" t="b">
        <f t="shared" si="11"/>
        <v>1</v>
      </c>
      <c r="O43" s="71" t="b">
        <f t="shared" si="12"/>
        <v>1</v>
      </c>
      <c r="P43" s="71" t="b">
        <f t="shared" si="13"/>
        <v>1</v>
      </c>
      <c r="Q43" s="71" t="b">
        <f t="shared" si="14"/>
        <v>0</v>
      </c>
      <c r="R43" s="71" t="str">
        <f t="shared" si="15"/>
        <v>1.1.2.1.1.T2</v>
      </c>
      <c r="X43" s="60" t="s">
        <v>245</v>
      </c>
      <c r="AB43" s="63" t="s">
        <v>244</v>
      </c>
      <c r="AC43" s="63"/>
      <c r="AD43" s="63"/>
      <c r="AE43" s="63">
        <v>1</v>
      </c>
      <c r="AJ43" s="63"/>
      <c r="AK43" s="63"/>
      <c r="AN43" s="63"/>
      <c r="AO43" s="63"/>
    </row>
    <row r="44" spans="3:41" ht="18" customHeight="1">
      <c r="C44" s="63" t="s">
        <v>246</v>
      </c>
      <c r="D44" s="63" t="s">
        <v>246</v>
      </c>
      <c r="E44" s="63">
        <v>1</v>
      </c>
      <c r="F44" s="63">
        <v>1</v>
      </c>
      <c r="G44" s="63">
        <v>2</v>
      </c>
      <c r="H44" s="63">
        <v>1</v>
      </c>
      <c r="I44" s="63">
        <v>2</v>
      </c>
      <c r="J44" s="63"/>
      <c r="K44" s="71" t="str">
        <f t="shared" si="8"/>
        <v>001.001.002.001.002.---</v>
      </c>
      <c r="L44" s="71">
        <f t="shared" si="9"/>
        <v>1</v>
      </c>
      <c r="M44" s="71">
        <f t="shared" si="10"/>
        <v>5</v>
      </c>
      <c r="N44" s="71" t="b">
        <f t="shared" si="11"/>
        <v>0</v>
      </c>
      <c r="O44" s="71" t="b">
        <f t="shared" si="12"/>
        <v>1</v>
      </c>
      <c r="P44" s="71" t="b">
        <f t="shared" si="13"/>
        <v>1</v>
      </c>
      <c r="Q44" s="71" t="b">
        <f t="shared" si="14"/>
        <v>1</v>
      </c>
      <c r="R44" s="71" t="str">
        <f t="shared" si="15"/>
        <v>1.1.2.1.2</v>
      </c>
      <c r="AB44" s="63" t="s">
        <v>244</v>
      </c>
      <c r="AC44" s="63"/>
      <c r="AD44" s="63"/>
      <c r="AE44" s="63">
        <v>1</v>
      </c>
      <c r="AJ44" s="63"/>
      <c r="AK44" s="63"/>
      <c r="AN44" s="63"/>
      <c r="AO44" s="63"/>
    </row>
    <row r="45" spans="3:41" ht="18" customHeight="1">
      <c r="C45" s="63" t="s">
        <v>246</v>
      </c>
      <c r="D45" s="63" t="s">
        <v>246</v>
      </c>
      <c r="E45" s="63">
        <v>1</v>
      </c>
      <c r="F45" s="63">
        <v>1</v>
      </c>
      <c r="G45" s="63">
        <v>2</v>
      </c>
      <c r="H45" s="63">
        <v>1</v>
      </c>
      <c r="I45" s="63">
        <v>2</v>
      </c>
      <c r="J45" s="63">
        <v>1</v>
      </c>
      <c r="K45" s="71" t="str">
        <f t="shared" si="8"/>
        <v>001.001.002.001.002.001</v>
      </c>
      <c r="L45" s="71">
        <f t="shared" si="9"/>
        <v>1</v>
      </c>
      <c r="M45" s="71">
        <f t="shared" si="10"/>
        <v>5</v>
      </c>
      <c r="N45" s="71" t="b">
        <f t="shared" si="11"/>
        <v>1</v>
      </c>
      <c r="O45" s="71" t="b">
        <f t="shared" si="12"/>
        <v>1</v>
      </c>
      <c r="P45" s="71" t="b">
        <f t="shared" si="13"/>
        <v>1</v>
      </c>
      <c r="Q45" s="71" t="b">
        <f t="shared" si="14"/>
        <v>0</v>
      </c>
      <c r="R45" s="71" t="str">
        <f t="shared" si="15"/>
        <v>1.1.2.1.2.T1</v>
      </c>
      <c r="X45" s="60" t="s">
        <v>243</v>
      </c>
      <c r="AB45" s="63" t="s">
        <v>244</v>
      </c>
      <c r="AC45" s="63"/>
      <c r="AD45" s="63"/>
      <c r="AE45" s="63">
        <v>1</v>
      </c>
      <c r="AJ45" s="63"/>
      <c r="AK45" s="63"/>
      <c r="AN45" s="63"/>
      <c r="AO45" s="63"/>
    </row>
    <row r="46" spans="3:41" ht="18" customHeight="1">
      <c r="C46" s="63" t="s">
        <v>246</v>
      </c>
      <c r="D46" s="63" t="s">
        <v>246</v>
      </c>
      <c r="E46" s="63">
        <v>1</v>
      </c>
      <c r="F46" s="63">
        <v>1</v>
      </c>
      <c r="G46" s="63">
        <v>2</v>
      </c>
      <c r="H46" s="63">
        <v>1</v>
      </c>
      <c r="I46" s="63">
        <v>2</v>
      </c>
      <c r="J46" s="63">
        <v>2</v>
      </c>
      <c r="K46" s="71" t="str">
        <f t="shared" si="8"/>
        <v>001.001.002.001.002.002</v>
      </c>
      <c r="L46" s="71">
        <f t="shared" si="9"/>
        <v>1</v>
      </c>
      <c r="M46" s="71">
        <f t="shared" si="10"/>
        <v>5</v>
      </c>
      <c r="N46" s="71" t="b">
        <f t="shared" si="11"/>
        <v>1</v>
      </c>
      <c r="O46" s="71" t="b">
        <f t="shared" si="12"/>
        <v>1</v>
      </c>
      <c r="P46" s="71" t="b">
        <f t="shared" si="13"/>
        <v>1</v>
      </c>
      <c r="Q46" s="71" t="b">
        <f t="shared" si="14"/>
        <v>0</v>
      </c>
      <c r="R46" s="71" t="str">
        <f t="shared" si="15"/>
        <v>1.1.2.1.2.T2</v>
      </c>
      <c r="X46" s="60" t="s">
        <v>245</v>
      </c>
      <c r="AB46" s="63" t="s">
        <v>244</v>
      </c>
      <c r="AC46" s="63"/>
      <c r="AD46" s="63"/>
      <c r="AE46" s="63">
        <v>1</v>
      </c>
      <c r="AJ46" s="63"/>
      <c r="AK46" s="63"/>
      <c r="AN46" s="63"/>
      <c r="AO46" s="63"/>
    </row>
    <row r="47" spans="3:41" ht="18" customHeight="1">
      <c r="C47" s="63" t="s">
        <v>246</v>
      </c>
      <c r="D47" s="63" t="s">
        <v>246</v>
      </c>
      <c r="E47" s="63">
        <v>1</v>
      </c>
      <c r="F47" s="63">
        <v>1</v>
      </c>
      <c r="G47" s="63">
        <v>2</v>
      </c>
      <c r="H47" s="63">
        <v>2</v>
      </c>
      <c r="I47" s="63"/>
      <c r="J47" s="63"/>
      <c r="K47" s="71" t="str">
        <f t="shared" si="8"/>
        <v>001.001.002.002.---.---</v>
      </c>
      <c r="L47" s="71">
        <f t="shared" si="9"/>
        <v>1</v>
      </c>
      <c r="M47" s="71">
        <f t="shared" si="10"/>
        <v>4</v>
      </c>
      <c r="N47" s="71" t="b">
        <f t="shared" si="11"/>
        <v>0</v>
      </c>
      <c r="O47" s="71" t="b">
        <f t="shared" si="12"/>
        <v>1</v>
      </c>
      <c r="P47" s="71" t="b">
        <f t="shared" si="13"/>
        <v>1</v>
      </c>
      <c r="Q47" s="71" t="b">
        <f t="shared" si="14"/>
        <v>1</v>
      </c>
      <c r="R47" s="71" t="str">
        <f t="shared" si="15"/>
        <v>1.1.2.2</v>
      </c>
      <c r="AB47" s="63" t="s">
        <v>244</v>
      </c>
      <c r="AC47" s="63"/>
      <c r="AD47" s="63"/>
      <c r="AE47" s="63">
        <v>1</v>
      </c>
      <c r="AJ47" s="63"/>
      <c r="AK47" s="63"/>
      <c r="AN47" s="63"/>
      <c r="AO47" s="63"/>
    </row>
    <row r="48" spans="3:41" ht="18" customHeight="1">
      <c r="C48" s="63" t="s">
        <v>246</v>
      </c>
      <c r="D48" s="63" t="s">
        <v>246</v>
      </c>
      <c r="E48" s="63">
        <v>1</v>
      </c>
      <c r="F48" s="63">
        <v>1</v>
      </c>
      <c r="G48" s="63">
        <v>2</v>
      </c>
      <c r="H48" s="63">
        <v>2</v>
      </c>
      <c r="I48" s="63"/>
      <c r="J48" s="63">
        <v>1</v>
      </c>
      <c r="K48" s="71" t="str">
        <f t="shared" si="8"/>
        <v>001.001.002.002.---.001</v>
      </c>
      <c r="L48" s="71">
        <f t="shared" si="9"/>
        <v>1</v>
      </c>
      <c r="M48" s="71">
        <f t="shared" si="10"/>
        <v>4</v>
      </c>
      <c r="N48" s="71" t="b">
        <f t="shared" si="11"/>
        <v>1</v>
      </c>
      <c r="O48" s="71" t="b">
        <f t="shared" si="12"/>
        <v>1</v>
      </c>
      <c r="P48" s="71" t="b">
        <f t="shared" si="13"/>
        <v>1</v>
      </c>
      <c r="Q48" s="71" t="b">
        <f t="shared" si="14"/>
        <v>0</v>
      </c>
      <c r="R48" s="71" t="str">
        <f t="shared" si="15"/>
        <v>1.1.2.2.T1</v>
      </c>
      <c r="X48" s="60" t="s">
        <v>239</v>
      </c>
      <c r="AB48" s="63" t="s">
        <v>203</v>
      </c>
      <c r="AC48" s="63"/>
      <c r="AD48" s="63"/>
      <c r="AE48" s="63">
        <v>1</v>
      </c>
      <c r="AJ48" s="63"/>
      <c r="AK48" s="63"/>
      <c r="AN48" s="63"/>
      <c r="AO48" s="63"/>
    </row>
    <row r="49" spans="3:41" ht="18" customHeight="1">
      <c r="C49" s="63" t="s">
        <v>246</v>
      </c>
      <c r="D49" s="63" t="s">
        <v>246</v>
      </c>
      <c r="E49" s="63">
        <v>1</v>
      </c>
      <c r="F49" s="63">
        <v>1</v>
      </c>
      <c r="G49" s="63">
        <v>2</v>
      </c>
      <c r="H49" s="63">
        <v>2</v>
      </c>
      <c r="I49" s="63"/>
      <c r="J49" s="63">
        <v>2</v>
      </c>
      <c r="K49" s="71" t="str">
        <f t="shared" si="8"/>
        <v>001.001.002.002.---.002</v>
      </c>
      <c r="L49" s="71">
        <f t="shared" si="9"/>
        <v>1</v>
      </c>
      <c r="M49" s="71">
        <f t="shared" si="10"/>
        <v>4</v>
      </c>
      <c r="N49" s="71" t="b">
        <f t="shared" si="11"/>
        <v>1</v>
      </c>
      <c r="O49" s="71" t="b">
        <f t="shared" si="12"/>
        <v>1</v>
      </c>
      <c r="P49" s="71" t="b">
        <f t="shared" si="13"/>
        <v>1</v>
      </c>
      <c r="Q49" s="71" t="b">
        <f t="shared" si="14"/>
        <v>0</v>
      </c>
      <c r="R49" s="71" t="str">
        <f t="shared" si="15"/>
        <v>1.1.2.2.T2</v>
      </c>
      <c r="X49" s="60" t="s">
        <v>240</v>
      </c>
      <c r="AB49" s="63" t="s">
        <v>241</v>
      </c>
      <c r="AC49" s="63"/>
      <c r="AD49" s="63"/>
      <c r="AE49" s="63">
        <v>1</v>
      </c>
      <c r="AJ49" s="63"/>
      <c r="AK49" s="63"/>
      <c r="AN49" s="63"/>
      <c r="AO49" s="63"/>
    </row>
    <row r="50" spans="3:41" ht="18" customHeight="1">
      <c r="C50" s="63" t="s">
        <v>246</v>
      </c>
      <c r="D50" s="63" t="s">
        <v>246</v>
      </c>
      <c r="E50" s="63">
        <v>1</v>
      </c>
      <c r="F50" s="63">
        <v>1</v>
      </c>
      <c r="G50" s="63">
        <v>2</v>
      </c>
      <c r="H50" s="63">
        <v>2</v>
      </c>
      <c r="I50" s="63">
        <v>1</v>
      </c>
      <c r="J50" s="63"/>
      <c r="K50" s="71" t="str">
        <f t="shared" si="8"/>
        <v>001.001.002.002.001.---</v>
      </c>
      <c r="L50" s="71">
        <f t="shared" si="9"/>
        <v>1</v>
      </c>
      <c r="M50" s="71">
        <f t="shared" si="10"/>
        <v>5</v>
      </c>
      <c r="N50" s="71" t="b">
        <f t="shared" si="11"/>
        <v>0</v>
      </c>
      <c r="O50" s="71" t="b">
        <f t="shared" si="12"/>
        <v>1</v>
      </c>
      <c r="P50" s="71" t="b">
        <f t="shared" si="13"/>
        <v>1</v>
      </c>
      <c r="Q50" s="71" t="b">
        <f t="shared" si="14"/>
        <v>1</v>
      </c>
      <c r="R50" s="71" t="str">
        <f t="shared" si="15"/>
        <v>1.1.2.2.1</v>
      </c>
      <c r="W50" s="60" t="s">
        <v>242</v>
      </c>
      <c r="AB50" s="63" t="s">
        <v>244</v>
      </c>
      <c r="AC50" s="63"/>
      <c r="AD50" s="63"/>
      <c r="AE50" s="63">
        <v>1</v>
      </c>
      <c r="AJ50" s="63"/>
      <c r="AK50" s="63"/>
      <c r="AN50" s="63"/>
      <c r="AO50" s="63"/>
    </row>
    <row r="51" spans="3:41" ht="18" customHeight="1">
      <c r="C51" s="63" t="s">
        <v>246</v>
      </c>
      <c r="D51" s="63" t="s">
        <v>246</v>
      </c>
      <c r="E51" s="63">
        <v>1</v>
      </c>
      <c r="F51" s="63">
        <v>1</v>
      </c>
      <c r="G51" s="63">
        <v>2</v>
      </c>
      <c r="H51" s="63">
        <v>2</v>
      </c>
      <c r="I51" s="63">
        <v>1</v>
      </c>
      <c r="J51" s="63">
        <v>1</v>
      </c>
      <c r="K51" s="71" t="str">
        <f t="shared" si="8"/>
        <v>001.001.002.002.001.001</v>
      </c>
      <c r="L51" s="71">
        <f t="shared" si="9"/>
        <v>1</v>
      </c>
      <c r="M51" s="71">
        <f t="shared" si="10"/>
        <v>5</v>
      </c>
      <c r="N51" s="71" t="b">
        <f t="shared" si="11"/>
        <v>1</v>
      </c>
      <c r="O51" s="71" t="b">
        <f t="shared" si="12"/>
        <v>1</v>
      </c>
      <c r="P51" s="71" t="b">
        <f t="shared" si="13"/>
        <v>1</v>
      </c>
      <c r="Q51" s="71" t="b">
        <f t="shared" si="14"/>
        <v>0</v>
      </c>
      <c r="R51" s="71" t="str">
        <f t="shared" si="15"/>
        <v>1.1.2.2.1.T1</v>
      </c>
      <c r="X51" s="60" t="s">
        <v>243</v>
      </c>
      <c r="AB51" s="63" t="s">
        <v>244</v>
      </c>
      <c r="AC51" s="63"/>
      <c r="AD51" s="63"/>
      <c r="AE51" s="63">
        <v>1</v>
      </c>
      <c r="AJ51" s="63"/>
      <c r="AK51" s="63"/>
      <c r="AN51" s="63"/>
      <c r="AO51" s="63"/>
    </row>
    <row r="52" spans="3:41" ht="18" customHeight="1">
      <c r="C52" s="63" t="s">
        <v>246</v>
      </c>
      <c r="D52" s="63" t="s">
        <v>246</v>
      </c>
      <c r="E52" s="63">
        <v>1</v>
      </c>
      <c r="F52" s="63">
        <v>1</v>
      </c>
      <c r="G52" s="63">
        <v>2</v>
      </c>
      <c r="H52" s="63">
        <v>2</v>
      </c>
      <c r="I52" s="63">
        <v>1</v>
      </c>
      <c r="J52" s="63">
        <v>2</v>
      </c>
      <c r="K52" s="71" t="str">
        <f t="shared" si="8"/>
        <v>001.001.002.002.001.002</v>
      </c>
      <c r="L52" s="71">
        <f t="shared" si="9"/>
        <v>1</v>
      </c>
      <c r="M52" s="71">
        <f t="shared" si="10"/>
        <v>5</v>
      </c>
      <c r="N52" s="71" t="b">
        <f t="shared" si="11"/>
        <v>1</v>
      </c>
      <c r="O52" s="71" t="b">
        <f t="shared" si="12"/>
        <v>1</v>
      </c>
      <c r="P52" s="71" t="b">
        <f t="shared" si="13"/>
        <v>1</v>
      </c>
      <c r="Q52" s="71" t="b">
        <f t="shared" si="14"/>
        <v>0</v>
      </c>
      <c r="R52" s="71" t="str">
        <f t="shared" si="15"/>
        <v>1.1.2.2.1.T2</v>
      </c>
      <c r="X52" s="60" t="s">
        <v>245</v>
      </c>
      <c r="AB52" s="63" t="s">
        <v>244</v>
      </c>
      <c r="AC52" s="63"/>
      <c r="AD52" s="63"/>
      <c r="AE52" s="63">
        <v>1</v>
      </c>
      <c r="AJ52" s="63"/>
      <c r="AK52" s="63"/>
      <c r="AN52" s="63"/>
      <c r="AO52" s="63"/>
    </row>
    <row r="53" spans="3:41" ht="18" customHeight="1">
      <c r="C53" s="63" t="s">
        <v>246</v>
      </c>
      <c r="D53" s="63" t="s">
        <v>246</v>
      </c>
      <c r="E53" s="63">
        <v>1</v>
      </c>
      <c r="F53" s="63">
        <v>1</v>
      </c>
      <c r="G53" s="63">
        <v>2</v>
      </c>
      <c r="H53" s="63">
        <v>2</v>
      </c>
      <c r="I53" s="63">
        <v>2</v>
      </c>
      <c r="J53" s="63"/>
      <c r="K53" s="71" t="str">
        <f t="shared" si="8"/>
        <v>001.001.002.002.002.---</v>
      </c>
      <c r="L53" s="71">
        <f t="shared" si="9"/>
        <v>1</v>
      </c>
      <c r="M53" s="71">
        <f t="shared" si="10"/>
        <v>5</v>
      </c>
      <c r="N53" s="71" t="b">
        <f t="shared" si="11"/>
        <v>0</v>
      </c>
      <c r="O53" s="71" t="b">
        <f t="shared" si="12"/>
        <v>1</v>
      </c>
      <c r="P53" s="71" t="b">
        <f t="shared" si="13"/>
        <v>1</v>
      </c>
      <c r="Q53" s="71" t="b">
        <f t="shared" si="14"/>
        <v>1</v>
      </c>
      <c r="R53" s="71" t="str">
        <f t="shared" si="15"/>
        <v>1.1.2.2.2</v>
      </c>
      <c r="AB53" s="63" t="s">
        <v>244</v>
      </c>
      <c r="AC53" s="63"/>
      <c r="AD53" s="63"/>
      <c r="AE53" s="63">
        <v>1</v>
      </c>
      <c r="AJ53" s="63"/>
      <c r="AK53" s="63"/>
      <c r="AN53" s="63"/>
      <c r="AO53" s="63"/>
    </row>
    <row r="54" spans="3:41" ht="18" customHeight="1">
      <c r="C54" s="63" t="s">
        <v>246</v>
      </c>
      <c r="D54" s="63" t="s">
        <v>246</v>
      </c>
      <c r="E54" s="63">
        <v>1</v>
      </c>
      <c r="F54" s="63">
        <v>1</v>
      </c>
      <c r="G54" s="63">
        <v>2</v>
      </c>
      <c r="H54" s="63">
        <v>2</v>
      </c>
      <c r="I54" s="63">
        <v>2</v>
      </c>
      <c r="J54" s="63">
        <v>1</v>
      </c>
      <c r="K54" s="71" t="str">
        <f t="shared" si="8"/>
        <v>001.001.002.002.002.001</v>
      </c>
      <c r="L54" s="71">
        <f t="shared" si="9"/>
        <v>1</v>
      </c>
      <c r="M54" s="71">
        <f t="shared" si="10"/>
        <v>5</v>
      </c>
      <c r="N54" s="71" t="b">
        <f t="shared" si="11"/>
        <v>1</v>
      </c>
      <c r="O54" s="71" t="b">
        <f t="shared" si="12"/>
        <v>1</v>
      </c>
      <c r="P54" s="71" t="b">
        <f t="shared" si="13"/>
        <v>1</v>
      </c>
      <c r="Q54" s="71" t="b">
        <f t="shared" si="14"/>
        <v>0</v>
      </c>
      <c r="R54" s="71" t="str">
        <f t="shared" si="15"/>
        <v>1.1.2.2.2.T1</v>
      </c>
      <c r="X54" s="60" t="s">
        <v>243</v>
      </c>
      <c r="AB54" s="63" t="s">
        <v>244</v>
      </c>
      <c r="AC54" s="63"/>
      <c r="AD54" s="63"/>
      <c r="AE54" s="63">
        <v>1</v>
      </c>
      <c r="AJ54" s="63"/>
      <c r="AK54" s="63"/>
      <c r="AN54" s="63"/>
      <c r="AO54" s="63"/>
    </row>
    <row r="55" spans="3:41" ht="18" customHeight="1">
      <c r="C55" s="63" t="s">
        <v>246</v>
      </c>
      <c r="D55" s="63" t="s">
        <v>246</v>
      </c>
      <c r="E55" s="63">
        <v>1</v>
      </c>
      <c r="F55" s="63">
        <v>1</v>
      </c>
      <c r="G55" s="63">
        <v>2</v>
      </c>
      <c r="H55" s="63">
        <v>2</v>
      </c>
      <c r="I55" s="63">
        <v>2</v>
      </c>
      <c r="J55" s="63">
        <v>2</v>
      </c>
      <c r="K55" s="71" t="str">
        <f t="shared" si="8"/>
        <v>001.001.002.002.002.002</v>
      </c>
      <c r="L55" s="71">
        <f t="shared" si="9"/>
        <v>1</v>
      </c>
      <c r="M55" s="71">
        <f t="shared" si="10"/>
        <v>5</v>
      </c>
      <c r="N55" s="71" t="b">
        <f t="shared" si="11"/>
        <v>1</v>
      </c>
      <c r="O55" s="71" t="b">
        <f t="shared" si="12"/>
        <v>1</v>
      </c>
      <c r="P55" s="71" t="b">
        <f t="shared" si="13"/>
        <v>1</v>
      </c>
      <c r="Q55" s="71" t="b">
        <f t="shared" si="14"/>
        <v>0</v>
      </c>
      <c r="R55" s="71" t="str">
        <f t="shared" si="15"/>
        <v>1.1.2.2.2.T2</v>
      </c>
      <c r="X55" s="60" t="s">
        <v>245</v>
      </c>
      <c r="AB55" s="63" t="s">
        <v>244</v>
      </c>
      <c r="AC55" s="63"/>
      <c r="AD55" s="63"/>
      <c r="AE55" s="63">
        <v>1</v>
      </c>
      <c r="AJ55" s="63"/>
      <c r="AK55" s="63"/>
      <c r="AN55" s="63"/>
      <c r="AO55" s="63"/>
    </row>
    <row r="56" spans="3:41" ht="18" customHeight="1">
      <c r="C56" s="63" t="s">
        <v>246</v>
      </c>
      <c r="D56" s="63" t="s">
        <v>246</v>
      </c>
      <c r="E56" s="63">
        <v>1</v>
      </c>
      <c r="F56" s="63">
        <v>2</v>
      </c>
      <c r="G56" s="63"/>
      <c r="H56" s="63"/>
      <c r="I56" s="63"/>
      <c r="J56" s="63"/>
      <c r="K56" s="71" t="str">
        <f t="shared" si="8"/>
        <v>001.002.---.---.---.---</v>
      </c>
      <c r="L56" s="71">
        <f t="shared" si="9"/>
        <v>1</v>
      </c>
      <c r="M56" s="71">
        <f t="shared" si="10"/>
        <v>2</v>
      </c>
      <c r="N56" s="71" t="b">
        <f t="shared" si="11"/>
        <v>0</v>
      </c>
      <c r="O56" s="71" t="b">
        <f t="shared" si="12"/>
        <v>1</v>
      </c>
      <c r="P56" s="71" t="b">
        <f t="shared" si="13"/>
        <v>1</v>
      </c>
      <c r="Q56" s="71" t="b">
        <f t="shared" si="14"/>
        <v>1</v>
      </c>
      <c r="R56" s="71" t="str">
        <f t="shared" si="15"/>
        <v>1.2</v>
      </c>
      <c r="AB56" s="63" t="s">
        <v>244</v>
      </c>
      <c r="AC56" s="63"/>
      <c r="AD56" s="63"/>
      <c r="AE56" s="63">
        <v>1</v>
      </c>
      <c r="AJ56" s="63"/>
      <c r="AK56" s="63"/>
      <c r="AN56" s="63"/>
      <c r="AO56" s="63"/>
    </row>
    <row r="57" spans="3:41" ht="18" customHeight="1">
      <c r="C57" s="63" t="s">
        <v>246</v>
      </c>
      <c r="D57" s="63" t="s">
        <v>246</v>
      </c>
      <c r="E57" s="63">
        <v>1</v>
      </c>
      <c r="F57" s="63">
        <v>2</v>
      </c>
      <c r="G57" s="63"/>
      <c r="H57" s="63"/>
      <c r="I57" s="63"/>
      <c r="J57" s="63">
        <v>1</v>
      </c>
      <c r="K57" s="71" t="str">
        <f t="shared" si="8"/>
        <v>001.002.---.---.---.001</v>
      </c>
      <c r="L57" s="71">
        <f t="shared" si="9"/>
        <v>1</v>
      </c>
      <c r="M57" s="71">
        <f t="shared" si="10"/>
        <v>2</v>
      </c>
      <c r="N57" s="71" t="b">
        <f t="shared" si="11"/>
        <v>1</v>
      </c>
      <c r="O57" s="71" t="b">
        <f t="shared" si="12"/>
        <v>1</v>
      </c>
      <c r="P57" s="71" t="b">
        <f t="shared" si="13"/>
        <v>1</v>
      </c>
      <c r="Q57" s="71" t="b">
        <f t="shared" si="14"/>
        <v>0</v>
      </c>
      <c r="R57" s="71" t="str">
        <f t="shared" si="15"/>
        <v>1.2.T1</v>
      </c>
      <c r="X57" s="60" t="s">
        <v>229</v>
      </c>
      <c r="AB57" s="63" t="s">
        <v>230</v>
      </c>
      <c r="AC57" s="63"/>
      <c r="AD57" s="63"/>
      <c r="AE57" s="63">
        <v>1</v>
      </c>
      <c r="AJ57" s="63"/>
      <c r="AK57" s="63"/>
      <c r="AN57" s="63"/>
      <c r="AO57" s="63"/>
    </row>
    <row r="58" spans="3:41" ht="18" customHeight="1">
      <c r="C58" s="63" t="s">
        <v>246</v>
      </c>
      <c r="D58" s="63" t="s">
        <v>246</v>
      </c>
      <c r="E58" s="63">
        <v>1</v>
      </c>
      <c r="F58" s="63">
        <v>2</v>
      </c>
      <c r="G58" s="63"/>
      <c r="H58" s="63"/>
      <c r="I58" s="63"/>
      <c r="J58" s="63">
        <v>2</v>
      </c>
      <c r="K58" s="71" t="str">
        <f t="shared" si="8"/>
        <v>001.002.---.---.---.002</v>
      </c>
      <c r="L58" s="71">
        <f t="shared" si="9"/>
        <v>1</v>
      </c>
      <c r="M58" s="71">
        <f t="shared" si="10"/>
        <v>2</v>
      </c>
      <c r="N58" s="71" t="b">
        <f t="shared" si="11"/>
        <v>1</v>
      </c>
      <c r="O58" s="71" t="b">
        <f t="shared" si="12"/>
        <v>0</v>
      </c>
      <c r="P58" s="71" t="b">
        <f t="shared" si="13"/>
        <v>1</v>
      </c>
      <c r="Q58" s="71" t="b">
        <f t="shared" si="14"/>
        <v>0</v>
      </c>
      <c r="R58" s="71" t="str">
        <f t="shared" si="15"/>
        <v>1.2.T2</v>
      </c>
      <c r="X58" s="60" t="s">
        <v>231</v>
      </c>
      <c r="AB58" s="63" t="s">
        <v>232</v>
      </c>
      <c r="AC58" s="63"/>
      <c r="AD58" s="63"/>
      <c r="AE58" s="63">
        <v>1</v>
      </c>
      <c r="AJ58" s="63"/>
      <c r="AK58" s="63"/>
      <c r="AN58" s="63"/>
      <c r="AO58" s="63"/>
    </row>
    <row r="59" spans="3:41" ht="18" customHeight="1">
      <c r="C59" s="63" t="s">
        <v>246</v>
      </c>
      <c r="D59" s="63" t="s">
        <v>246</v>
      </c>
      <c r="E59" s="63">
        <v>1</v>
      </c>
      <c r="F59" s="63">
        <v>2</v>
      </c>
      <c r="G59" s="63">
        <v>1</v>
      </c>
      <c r="H59" s="63"/>
      <c r="I59" s="63"/>
      <c r="J59" s="63"/>
      <c r="K59" s="71" t="str">
        <f t="shared" si="8"/>
        <v>001.002.001.---.---.---</v>
      </c>
      <c r="L59" s="71">
        <f t="shared" si="9"/>
        <v>1</v>
      </c>
      <c r="M59" s="71">
        <f t="shared" si="10"/>
        <v>3</v>
      </c>
      <c r="N59" s="71" t="b">
        <f t="shared" si="11"/>
        <v>0</v>
      </c>
      <c r="O59" s="71" t="b">
        <f t="shared" si="12"/>
        <v>1</v>
      </c>
      <c r="P59" s="71" t="b">
        <f t="shared" si="13"/>
        <v>1</v>
      </c>
      <c r="Q59" s="71" t="b">
        <f t="shared" si="14"/>
        <v>1</v>
      </c>
      <c r="R59" s="71" t="str">
        <f t="shared" si="15"/>
        <v>1.2.1</v>
      </c>
      <c r="U59" s="60" t="s">
        <v>233</v>
      </c>
      <c r="AB59" s="63" t="s">
        <v>244</v>
      </c>
      <c r="AC59" s="63"/>
      <c r="AD59" s="63"/>
      <c r="AE59" s="63">
        <v>1</v>
      </c>
      <c r="AJ59" s="63"/>
      <c r="AK59" s="63"/>
      <c r="AN59" s="63"/>
      <c r="AO59" s="63"/>
    </row>
    <row r="60" spans="3:41" ht="18" customHeight="1">
      <c r="C60" s="63" t="s">
        <v>246</v>
      </c>
      <c r="D60" s="63" t="s">
        <v>246</v>
      </c>
      <c r="E60" s="63">
        <v>1</v>
      </c>
      <c r="F60" s="63">
        <v>2</v>
      </c>
      <c r="G60" s="63">
        <v>1</v>
      </c>
      <c r="H60" s="63"/>
      <c r="I60" s="63"/>
      <c r="J60" s="63">
        <v>1</v>
      </c>
      <c r="K60" s="71" t="str">
        <f t="shared" si="8"/>
        <v>001.002.001.---.---.001</v>
      </c>
      <c r="L60" s="71">
        <f t="shared" si="9"/>
        <v>1</v>
      </c>
      <c r="M60" s="71">
        <f t="shared" si="10"/>
        <v>3</v>
      </c>
      <c r="N60" s="71" t="b">
        <f t="shared" si="11"/>
        <v>1</v>
      </c>
      <c r="O60" s="71" t="b">
        <f t="shared" si="12"/>
        <v>0</v>
      </c>
      <c r="P60" s="71" t="b">
        <f t="shared" si="13"/>
        <v>1</v>
      </c>
      <c r="Q60" s="71" t="b">
        <f t="shared" si="14"/>
        <v>0</v>
      </c>
      <c r="R60" s="71" t="str">
        <f t="shared" si="15"/>
        <v>1.2.1.T1</v>
      </c>
      <c r="X60" s="60" t="s">
        <v>234</v>
      </c>
      <c r="AB60" s="63" t="s">
        <v>235</v>
      </c>
      <c r="AC60" s="63"/>
      <c r="AD60" s="63"/>
      <c r="AE60" s="63">
        <v>1</v>
      </c>
      <c r="AJ60" s="63"/>
      <c r="AK60" s="63"/>
      <c r="AN60" s="63"/>
      <c r="AO60" s="63"/>
    </row>
    <row r="61" spans="3:41" ht="18" customHeight="1">
      <c r="C61" s="63" t="s">
        <v>246</v>
      </c>
      <c r="D61" s="63" t="s">
        <v>246</v>
      </c>
      <c r="E61" s="63">
        <v>1</v>
      </c>
      <c r="F61" s="63">
        <v>2</v>
      </c>
      <c r="G61" s="63">
        <v>1</v>
      </c>
      <c r="H61" s="63"/>
      <c r="I61" s="63"/>
      <c r="J61" s="63">
        <v>2</v>
      </c>
      <c r="K61" s="71" t="str">
        <f t="shared" si="8"/>
        <v>001.002.001.---.---.002</v>
      </c>
      <c r="L61" s="71">
        <f t="shared" si="9"/>
        <v>1</v>
      </c>
      <c r="M61" s="71">
        <f t="shared" si="10"/>
        <v>3</v>
      </c>
      <c r="N61" s="71" t="b">
        <f t="shared" si="11"/>
        <v>1</v>
      </c>
      <c r="O61" s="71" t="b">
        <f t="shared" si="12"/>
        <v>1</v>
      </c>
      <c r="P61" s="71" t="b">
        <f t="shared" si="13"/>
        <v>1</v>
      </c>
      <c r="Q61" s="71" t="b">
        <f t="shared" si="14"/>
        <v>0</v>
      </c>
      <c r="R61" s="71" t="str">
        <f t="shared" si="15"/>
        <v>1.2.1.T2</v>
      </c>
      <c r="X61" s="60" t="s">
        <v>236</v>
      </c>
      <c r="AB61" s="63" t="s">
        <v>237</v>
      </c>
      <c r="AC61" s="63"/>
      <c r="AD61" s="63"/>
      <c r="AE61" s="63">
        <v>1</v>
      </c>
      <c r="AJ61" s="63"/>
      <c r="AK61" s="63"/>
      <c r="AN61" s="63"/>
      <c r="AO61" s="63"/>
    </row>
    <row r="62" spans="3:41" ht="18" customHeight="1">
      <c r="C62" s="63" t="s">
        <v>246</v>
      </c>
      <c r="D62" s="63" t="s">
        <v>246</v>
      </c>
      <c r="E62" s="63">
        <v>1</v>
      </c>
      <c r="F62" s="63">
        <v>2</v>
      </c>
      <c r="G62" s="63">
        <v>1</v>
      </c>
      <c r="H62" s="63">
        <v>1</v>
      </c>
      <c r="I62" s="63"/>
      <c r="J62" s="63"/>
      <c r="K62" s="71" t="str">
        <f t="shared" si="8"/>
        <v>001.002.001.001.---.---</v>
      </c>
      <c r="L62" s="71">
        <f t="shared" si="9"/>
        <v>1</v>
      </c>
      <c r="M62" s="71">
        <f t="shared" si="10"/>
        <v>4</v>
      </c>
      <c r="N62" s="71" t="b">
        <f t="shared" si="11"/>
        <v>0</v>
      </c>
      <c r="O62" s="71" t="b">
        <f t="shared" si="12"/>
        <v>1</v>
      </c>
      <c r="P62" s="71" t="b">
        <f t="shared" si="13"/>
        <v>1</v>
      </c>
      <c r="Q62" s="71" t="b">
        <f t="shared" si="14"/>
        <v>1</v>
      </c>
      <c r="R62" s="71" t="str">
        <f t="shared" si="15"/>
        <v>1.2.1.1</v>
      </c>
      <c r="AB62" s="63" t="s">
        <v>244</v>
      </c>
      <c r="AC62" s="63"/>
      <c r="AD62" s="63"/>
      <c r="AE62" s="63">
        <v>1</v>
      </c>
      <c r="AJ62" s="63"/>
      <c r="AK62" s="63"/>
      <c r="AN62" s="63"/>
      <c r="AO62" s="63"/>
    </row>
    <row r="63" spans="3:41" ht="18" customHeight="1">
      <c r="C63" s="63" t="s">
        <v>246</v>
      </c>
      <c r="D63" s="63" t="s">
        <v>246</v>
      </c>
      <c r="E63" s="63">
        <v>1</v>
      </c>
      <c r="F63" s="63">
        <v>2</v>
      </c>
      <c r="G63" s="63">
        <v>1</v>
      </c>
      <c r="H63" s="63">
        <v>1</v>
      </c>
      <c r="I63" s="63"/>
      <c r="J63" s="63">
        <v>1</v>
      </c>
      <c r="K63" s="71" t="str">
        <f t="shared" si="8"/>
        <v>001.002.001.001.---.001</v>
      </c>
      <c r="L63" s="71">
        <f t="shared" si="9"/>
        <v>1</v>
      </c>
      <c r="M63" s="71">
        <f t="shared" si="10"/>
        <v>4</v>
      </c>
      <c r="N63" s="71" t="b">
        <f t="shared" si="11"/>
        <v>1</v>
      </c>
      <c r="O63" s="71" t="b">
        <f t="shared" si="12"/>
        <v>1</v>
      </c>
      <c r="P63" s="71" t="b">
        <f t="shared" si="13"/>
        <v>1</v>
      </c>
      <c r="Q63" s="71" t="b">
        <f t="shared" si="14"/>
        <v>0</v>
      </c>
      <c r="R63" s="71" t="str">
        <f t="shared" si="15"/>
        <v>1.2.1.1.T1</v>
      </c>
      <c r="V63" s="60" t="s">
        <v>238</v>
      </c>
      <c r="X63" s="60" t="s">
        <v>239</v>
      </c>
      <c r="AB63" s="63" t="s">
        <v>203</v>
      </c>
      <c r="AC63" s="63"/>
      <c r="AD63" s="63"/>
      <c r="AE63" s="63">
        <v>1</v>
      </c>
      <c r="AJ63" s="63"/>
      <c r="AK63" s="63"/>
      <c r="AN63" s="63"/>
      <c r="AO63" s="63"/>
    </row>
    <row r="64" spans="3:41" ht="18" customHeight="1">
      <c r="C64" s="63" t="s">
        <v>246</v>
      </c>
      <c r="D64" s="63" t="s">
        <v>246</v>
      </c>
      <c r="E64" s="63">
        <v>1</v>
      </c>
      <c r="F64" s="63">
        <v>2</v>
      </c>
      <c r="G64" s="63">
        <v>1</v>
      </c>
      <c r="H64" s="63">
        <v>1</v>
      </c>
      <c r="I64" s="63"/>
      <c r="J64" s="63">
        <v>2</v>
      </c>
      <c r="K64" s="71" t="str">
        <f t="shared" si="8"/>
        <v>001.002.001.001.---.002</v>
      </c>
      <c r="L64" s="71">
        <f t="shared" si="9"/>
        <v>1</v>
      </c>
      <c r="M64" s="71">
        <f t="shared" si="10"/>
        <v>4</v>
      </c>
      <c r="N64" s="71" t="b">
        <f t="shared" si="11"/>
        <v>1</v>
      </c>
      <c r="O64" s="71" t="b">
        <f t="shared" si="12"/>
        <v>1</v>
      </c>
      <c r="P64" s="71" t="b">
        <f t="shared" si="13"/>
        <v>1</v>
      </c>
      <c r="Q64" s="71" t="b">
        <f t="shared" si="14"/>
        <v>0</v>
      </c>
      <c r="R64" s="71" t="str">
        <f t="shared" si="15"/>
        <v>1.2.1.1.T2</v>
      </c>
      <c r="X64" s="60" t="s">
        <v>240</v>
      </c>
      <c r="AB64" s="63" t="s">
        <v>241</v>
      </c>
      <c r="AC64" s="63"/>
      <c r="AD64" s="63"/>
      <c r="AE64" s="63">
        <v>1</v>
      </c>
      <c r="AJ64" s="63"/>
      <c r="AK64" s="63"/>
      <c r="AN64" s="63"/>
      <c r="AO64" s="63"/>
    </row>
    <row r="65" spans="3:41" ht="18" customHeight="1">
      <c r="C65" s="63" t="s">
        <v>246</v>
      </c>
      <c r="D65" s="63" t="s">
        <v>246</v>
      </c>
      <c r="E65" s="63">
        <v>1</v>
      </c>
      <c r="F65" s="63">
        <v>2</v>
      </c>
      <c r="G65" s="63">
        <v>1</v>
      </c>
      <c r="H65" s="63">
        <v>1</v>
      </c>
      <c r="I65" s="63">
        <v>1</v>
      </c>
      <c r="J65" s="63"/>
      <c r="K65" s="71" t="str">
        <f t="shared" si="8"/>
        <v>001.002.001.001.001.---</v>
      </c>
      <c r="L65" s="71">
        <f t="shared" si="9"/>
        <v>1</v>
      </c>
      <c r="M65" s="71">
        <f t="shared" si="10"/>
        <v>5</v>
      </c>
      <c r="N65" s="71" t="b">
        <f t="shared" si="11"/>
        <v>0</v>
      </c>
      <c r="O65" s="71" t="b">
        <f t="shared" si="12"/>
        <v>1</v>
      </c>
      <c r="P65" s="71" t="b">
        <f t="shared" si="13"/>
        <v>1</v>
      </c>
      <c r="Q65" s="71" t="b">
        <f t="shared" si="14"/>
        <v>1</v>
      </c>
      <c r="R65" s="71" t="str">
        <f t="shared" si="15"/>
        <v>1.2.1.1.1</v>
      </c>
      <c r="W65" s="60" t="s">
        <v>242</v>
      </c>
      <c r="AB65" s="63" t="s">
        <v>244</v>
      </c>
      <c r="AC65" s="63"/>
      <c r="AD65" s="63"/>
      <c r="AE65" s="63">
        <v>1</v>
      </c>
      <c r="AJ65" s="63"/>
      <c r="AK65" s="63"/>
      <c r="AN65" s="63"/>
      <c r="AO65" s="63"/>
    </row>
    <row r="66" spans="3:41" ht="18" customHeight="1">
      <c r="C66" s="63" t="s">
        <v>246</v>
      </c>
      <c r="D66" s="63" t="s">
        <v>246</v>
      </c>
      <c r="E66" s="63">
        <v>1</v>
      </c>
      <c r="F66" s="63">
        <v>2</v>
      </c>
      <c r="G66" s="63">
        <v>1</v>
      </c>
      <c r="H66" s="63">
        <v>1</v>
      </c>
      <c r="I66" s="63">
        <v>1</v>
      </c>
      <c r="J66" s="63">
        <v>1</v>
      </c>
      <c r="K66" s="71" t="str">
        <f t="shared" si="8"/>
        <v>001.002.001.001.001.001</v>
      </c>
      <c r="L66" s="71">
        <f t="shared" si="9"/>
        <v>1</v>
      </c>
      <c r="M66" s="71">
        <f t="shared" si="10"/>
        <v>5</v>
      </c>
      <c r="N66" s="71" t="b">
        <f t="shared" si="11"/>
        <v>1</v>
      </c>
      <c r="O66" s="71" t="b">
        <f t="shared" si="12"/>
        <v>1</v>
      </c>
      <c r="P66" s="71" t="b">
        <f t="shared" si="13"/>
        <v>1</v>
      </c>
      <c r="Q66" s="71" t="b">
        <f t="shared" si="14"/>
        <v>0</v>
      </c>
      <c r="R66" s="71" t="str">
        <f t="shared" si="15"/>
        <v>1.2.1.1.1.T1</v>
      </c>
      <c r="X66" s="60" t="s">
        <v>243</v>
      </c>
      <c r="AB66" s="63" t="s">
        <v>244</v>
      </c>
      <c r="AC66" s="63"/>
      <c r="AD66" s="63"/>
      <c r="AE66" s="63">
        <v>1</v>
      </c>
      <c r="AJ66" s="63"/>
      <c r="AK66" s="63"/>
      <c r="AN66" s="63"/>
      <c r="AO66" s="63"/>
    </row>
    <row r="67" spans="3:41" ht="18" customHeight="1">
      <c r="C67" s="63" t="s">
        <v>246</v>
      </c>
      <c r="D67" s="63" t="s">
        <v>246</v>
      </c>
      <c r="E67" s="63">
        <v>1</v>
      </c>
      <c r="F67" s="63">
        <v>2</v>
      </c>
      <c r="G67" s="63">
        <v>1</v>
      </c>
      <c r="H67" s="63">
        <v>1</v>
      </c>
      <c r="I67" s="63">
        <v>1</v>
      </c>
      <c r="J67" s="63">
        <v>2</v>
      </c>
      <c r="K67" s="71" t="str">
        <f t="shared" si="8"/>
        <v>001.002.001.001.001.002</v>
      </c>
      <c r="L67" s="71">
        <f t="shared" si="9"/>
        <v>1</v>
      </c>
      <c r="M67" s="71">
        <f t="shared" si="10"/>
        <v>5</v>
      </c>
      <c r="N67" s="71" t="b">
        <f t="shared" si="11"/>
        <v>1</v>
      </c>
      <c r="O67" s="71" t="b">
        <f t="shared" si="12"/>
        <v>1</v>
      </c>
      <c r="P67" s="71" t="b">
        <f t="shared" si="13"/>
        <v>1</v>
      </c>
      <c r="Q67" s="71" t="b">
        <f t="shared" si="14"/>
        <v>0</v>
      </c>
      <c r="R67" s="71" t="str">
        <f t="shared" si="15"/>
        <v>1.2.1.1.1.T2</v>
      </c>
      <c r="X67" s="60" t="s">
        <v>245</v>
      </c>
      <c r="AB67" s="63" t="s">
        <v>244</v>
      </c>
      <c r="AC67" s="63"/>
      <c r="AD67" s="63"/>
      <c r="AE67" s="63">
        <v>1</v>
      </c>
      <c r="AJ67" s="63"/>
      <c r="AK67" s="63"/>
      <c r="AN67" s="63"/>
      <c r="AO67" s="63"/>
    </row>
    <row r="68" spans="3:41" ht="18" customHeight="1">
      <c r="C68" s="63" t="s">
        <v>246</v>
      </c>
      <c r="D68" s="63" t="s">
        <v>246</v>
      </c>
      <c r="E68" s="63">
        <v>1</v>
      </c>
      <c r="F68" s="63">
        <v>2</v>
      </c>
      <c r="G68" s="63">
        <v>1</v>
      </c>
      <c r="H68" s="63">
        <v>1</v>
      </c>
      <c r="I68" s="63">
        <v>2</v>
      </c>
      <c r="J68" s="63"/>
      <c r="K68" s="71" t="str">
        <f t="shared" si="8"/>
        <v>001.002.001.001.002.---</v>
      </c>
      <c r="L68" s="71">
        <f t="shared" si="9"/>
        <v>1</v>
      </c>
      <c r="M68" s="71">
        <f t="shared" si="10"/>
        <v>5</v>
      </c>
      <c r="N68" s="71" t="b">
        <f t="shared" si="11"/>
        <v>0</v>
      </c>
      <c r="O68" s="71" t="b">
        <f t="shared" si="12"/>
        <v>1</v>
      </c>
      <c r="P68" s="71" t="b">
        <f t="shared" si="13"/>
        <v>1</v>
      </c>
      <c r="Q68" s="71" t="b">
        <f t="shared" si="14"/>
        <v>1</v>
      </c>
      <c r="R68" s="71" t="str">
        <f t="shared" si="15"/>
        <v>1.2.1.1.2</v>
      </c>
      <c r="AB68" s="63" t="s">
        <v>244</v>
      </c>
      <c r="AC68" s="63"/>
      <c r="AD68" s="63"/>
      <c r="AE68" s="63">
        <v>1</v>
      </c>
      <c r="AJ68" s="63"/>
      <c r="AK68" s="63"/>
      <c r="AN68" s="63"/>
      <c r="AO68" s="63"/>
    </row>
    <row r="69" spans="3:41" ht="18" customHeight="1">
      <c r="C69" s="63" t="s">
        <v>246</v>
      </c>
      <c r="D69" s="63" t="s">
        <v>246</v>
      </c>
      <c r="E69" s="63">
        <v>1</v>
      </c>
      <c r="F69" s="63">
        <v>2</v>
      </c>
      <c r="G69" s="63">
        <v>1</v>
      </c>
      <c r="H69" s="63">
        <v>1</v>
      </c>
      <c r="I69" s="63">
        <v>2</v>
      </c>
      <c r="J69" s="63">
        <v>1</v>
      </c>
      <c r="K69" s="71" t="str">
        <f t="shared" si="8"/>
        <v>001.002.001.001.002.001</v>
      </c>
      <c r="L69" s="71">
        <f t="shared" si="9"/>
        <v>1</v>
      </c>
      <c r="M69" s="71">
        <f t="shared" si="10"/>
        <v>5</v>
      </c>
      <c r="N69" s="71" t="b">
        <f t="shared" si="11"/>
        <v>1</v>
      </c>
      <c r="O69" s="71" t="b">
        <f t="shared" si="12"/>
        <v>1</v>
      </c>
      <c r="P69" s="71" t="b">
        <f t="shared" si="13"/>
        <v>1</v>
      </c>
      <c r="Q69" s="71" t="b">
        <f t="shared" si="14"/>
        <v>0</v>
      </c>
      <c r="R69" s="71" t="str">
        <f t="shared" si="15"/>
        <v>1.2.1.1.2.T1</v>
      </c>
      <c r="X69" s="60" t="s">
        <v>243</v>
      </c>
      <c r="AB69" s="63" t="s">
        <v>244</v>
      </c>
      <c r="AC69" s="63"/>
      <c r="AD69" s="63"/>
      <c r="AE69" s="63">
        <v>1</v>
      </c>
      <c r="AJ69" s="63"/>
      <c r="AK69" s="63"/>
      <c r="AN69" s="63"/>
      <c r="AO69" s="63"/>
    </row>
    <row r="70" spans="3:41" ht="18" customHeight="1">
      <c r="C70" s="63" t="s">
        <v>246</v>
      </c>
      <c r="D70" s="63" t="s">
        <v>246</v>
      </c>
      <c r="E70" s="63">
        <v>1</v>
      </c>
      <c r="F70" s="63">
        <v>2</v>
      </c>
      <c r="G70" s="63">
        <v>1</v>
      </c>
      <c r="H70" s="63">
        <v>1</v>
      </c>
      <c r="I70" s="63">
        <v>2</v>
      </c>
      <c r="J70" s="63">
        <v>2</v>
      </c>
      <c r="K70" s="71" t="str">
        <f t="shared" si="8"/>
        <v>001.002.001.001.002.002</v>
      </c>
      <c r="L70" s="71">
        <f t="shared" si="9"/>
        <v>1</v>
      </c>
      <c r="M70" s="71">
        <f t="shared" si="10"/>
        <v>5</v>
      </c>
      <c r="N70" s="71" t="b">
        <f t="shared" si="11"/>
        <v>1</v>
      </c>
      <c r="O70" s="71" t="b">
        <f t="shared" si="12"/>
        <v>1</v>
      </c>
      <c r="P70" s="71" t="b">
        <f t="shared" si="13"/>
        <v>1</v>
      </c>
      <c r="Q70" s="71" t="b">
        <f t="shared" si="14"/>
        <v>0</v>
      </c>
      <c r="R70" s="71" t="str">
        <f t="shared" si="15"/>
        <v>1.2.1.1.2.T2</v>
      </c>
      <c r="X70" s="60" t="s">
        <v>245</v>
      </c>
      <c r="AB70" s="63" t="s">
        <v>244</v>
      </c>
      <c r="AC70" s="63"/>
      <c r="AD70" s="63"/>
      <c r="AE70" s="63">
        <v>1</v>
      </c>
      <c r="AJ70" s="63"/>
      <c r="AK70" s="63"/>
      <c r="AN70" s="63"/>
      <c r="AO70" s="63"/>
    </row>
    <row r="71" spans="3:41" ht="18" customHeight="1">
      <c r="C71" s="63" t="s">
        <v>246</v>
      </c>
      <c r="D71" s="63" t="s">
        <v>246</v>
      </c>
      <c r="E71" s="63">
        <v>1</v>
      </c>
      <c r="F71" s="63">
        <v>2</v>
      </c>
      <c r="G71" s="63">
        <v>1</v>
      </c>
      <c r="H71" s="63">
        <v>2</v>
      </c>
      <c r="I71" s="63"/>
      <c r="J71" s="63"/>
      <c r="K71" s="71" t="str">
        <f t="shared" si="8"/>
        <v>001.002.001.002.---.---</v>
      </c>
      <c r="L71" s="71">
        <f t="shared" si="9"/>
        <v>1</v>
      </c>
      <c r="M71" s="71">
        <f t="shared" si="10"/>
        <v>4</v>
      </c>
      <c r="N71" s="71" t="b">
        <f t="shared" si="11"/>
        <v>0</v>
      </c>
      <c r="O71" s="71" t="b">
        <f t="shared" si="12"/>
        <v>1</v>
      </c>
      <c r="P71" s="71" t="b">
        <f t="shared" si="13"/>
        <v>1</v>
      </c>
      <c r="Q71" s="71" t="b">
        <f t="shared" si="14"/>
        <v>1</v>
      </c>
      <c r="R71" s="71" t="str">
        <f t="shared" si="15"/>
        <v>1.2.1.2</v>
      </c>
      <c r="AB71" s="63" t="s">
        <v>244</v>
      </c>
      <c r="AC71" s="63"/>
      <c r="AD71" s="63"/>
      <c r="AE71" s="63">
        <v>1</v>
      </c>
      <c r="AJ71" s="63"/>
      <c r="AK71" s="63"/>
      <c r="AN71" s="63"/>
      <c r="AO71" s="63"/>
    </row>
    <row r="72" spans="3:41" ht="18" customHeight="1">
      <c r="C72" s="63" t="s">
        <v>246</v>
      </c>
      <c r="D72" s="63" t="s">
        <v>246</v>
      </c>
      <c r="E72" s="63">
        <v>1</v>
      </c>
      <c r="F72" s="63">
        <v>2</v>
      </c>
      <c r="G72" s="63">
        <v>1</v>
      </c>
      <c r="H72" s="63">
        <v>2</v>
      </c>
      <c r="I72" s="63"/>
      <c r="J72" s="63">
        <v>1</v>
      </c>
      <c r="K72" s="71" t="str">
        <f t="shared" ref="K72:K103" si="16">IF(B72="E","ERROR",IF(E72="","XXX.XXX.XXX.XXX.XXX.XXX", _xlfn.CONCAT(TEXT(E72,"000"),IF(F72="",".---", "." &amp; TEXT(F72,"000")),IF(G72="",".---", "." &amp; TEXT(G72,"000")),IF(H72="",".---", "." &amp; TEXT(H72,"000")),IF(I72="",".---", "." &amp; TEXT(I72,"000")),IF(J72="",".---", "." &amp; TEXT(J72,"000")))))</f>
        <v>001.002.001.002.---.001</v>
      </c>
      <c r="L72" s="71">
        <f t="shared" ref="L72:L103" si="17">COUNTIF(K$8:K$158,K72)</f>
        <v>1</v>
      </c>
      <c r="M72" s="71">
        <f t="shared" ref="M72:M103" si="18">IF(AND(ISNUMBER(E72),F72="",G72="",H72="",I72=""),1,IF(AND(ISNUMBER(E72),ISNUMBER(F72),G72="",H72="",I72=""),2,IF(AND(ISNUMBER(E72),ISNUMBER(F72),ISNUMBER(G72),H72="",I72=""),3,IF(AND(ISNUMBER(E72),ISNUMBER(F72),ISNUMBER(G72),ISNUMBER(H72),I72=""),4,IF(AND(ISNUMBER(E72),ISNUMBER(F72),ISNUMBER(G72),ISNUMBER(H72),ISNUMBER(I72)),5,0)))))</f>
        <v>4</v>
      </c>
      <c r="N72" s="71" t="b">
        <f t="shared" ref="N72:N103" si="19">IF(AND(J72&lt;&gt;"",ISNUMBER(J72)),TRUE,FALSE)</f>
        <v>1</v>
      </c>
      <c r="O72" s="71" t="b">
        <f t="shared" ref="O72:O103" si="20">NOT(OR(AB72="移管済",AB72="棚上げ",AB72="却下"))</f>
        <v>1</v>
      </c>
      <c r="P72" s="71" t="b">
        <f t="shared" ref="P72:P103" si="21">AND(M72&gt;0,R72&lt;&gt;"",IFERROR(ISNUMBER(MATCH(IFERROR(LEFT(R72,FIND("~",SUBSTITUTE(R72,".","~",LEN(R72)-LEN(SUBSTITUTE(R72,".",""))))-1),R72),R$8:R$158,0)),FALSE))</f>
        <v>1</v>
      </c>
      <c r="Q72" s="71" t="b">
        <f t="shared" ref="Q72:Q103" si="22">AND(M72&gt;0,N72=FALSE,R72&lt;&gt;"",IFERROR(SUMPRODUCT(--(LEFT(R$8:R$158,LEN(R72&amp;"."))=R72&amp;"."))&gt;0,FALSE))</f>
        <v>0</v>
      </c>
      <c r="R72" s="71" t="str">
        <f t="shared" ref="R72:R103" si="23">IF(B72="E","ERROR",IF(E72="","",_xlfn.CONCAT(E72,IF(F72="","","."&amp;F72 ), IF(G72="","","."&amp;G72 ), IF(H72="","","."&amp;H72 ), IF(I72="","","."&amp;I72 ), IF(J72="","",".T"&amp;J72 ))))</f>
        <v>1.2.1.2.T1</v>
      </c>
      <c r="X72" s="60" t="s">
        <v>239</v>
      </c>
      <c r="AB72" s="63" t="s">
        <v>203</v>
      </c>
      <c r="AC72" s="63"/>
      <c r="AD72" s="63"/>
      <c r="AE72" s="63">
        <v>1</v>
      </c>
      <c r="AJ72" s="63"/>
      <c r="AK72" s="63"/>
      <c r="AN72" s="63"/>
      <c r="AO72" s="63"/>
    </row>
    <row r="73" spans="3:41" ht="18" customHeight="1">
      <c r="C73" s="63" t="s">
        <v>246</v>
      </c>
      <c r="D73" s="63" t="s">
        <v>246</v>
      </c>
      <c r="E73" s="63">
        <v>1</v>
      </c>
      <c r="F73" s="63">
        <v>2</v>
      </c>
      <c r="G73" s="63">
        <v>1</v>
      </c>
      <c r="H73" s="63">
        <v>2</v>
      </c>
      <c r="I73" s="63"/>
      <c r="J73" s="63">
        <v>2</v>
      </c>
      <c r="K73" s="71" t="str">
        <f t="shared" si="16"/>
        <v>001.002.001.002.---.002</v>
      </c>
      <c r="L73" s="71">
        <f t="shared" si="17"/>
        <v>1</v>
      </c>
      <c r="M73" s="71">
        <f t="shared" si="18"/>
        <v>4</v>
      </c>
      <c r="N73" s="71" t="b">
        <f t="shared" si="19"/>
        <v>1</v>
      </c>
      <c r="O73" s="71" t="b">
        <f t="shared" si="20"/>
        <v>1</v>
      </c>
      <c r="P73" s="71" t="b">
        <f t="shared" si="21"/>
        <v>1</v>
      </c>
      <c r="Q73" s="71" t="b">
        <f t="shared" si="22"/>
        <v>0</v>
      </c>
      <c r="R73" s="71" t="str">
        <f t="shared" si="23"/>
        <v>1.2.1.2.T2</v>
      </c>
      <c r="X73" s="60" t="s">
        <v>240</v>
      </c>
      <c r="AB73" s="63" t="s">
        <v>241</v>
      </c>
      <c r="AC73" s="63"/>
      <c r="AD73" s="63"/>
      <c r="AE73" s="63">
        <v>1</v>
      </c>
      <c r="AJ73" s="63"/>
      <c r="AK73" s="63"/>
      <c r="AN73" s="63"/>
      <c r="AO73" s="63"/>
    </row>
    <row r="74" spans="3:41" ht="18" customHeight="1">
      <c r="C74" s="63" t="s">
        <v>246</v>
      </c>
      <c r="D74" s="63" t="s">
        <v>246</v>
      </c>
      <c r="E74" s="63">
        <v>1</v>
      </c>
      <c r="F74" s="63">
        <v>2</v>
      </c>
      <c r="G74" s="63">
        <v>1</v>
      </c>
      <c r="H74" s="63">
        <v>2</v>
      </c>
      <c r="I74" s="63">
        <v>1</v>
      </c>
      <c r="J74" s="63"/>
      <c r="K74" s="71" t="str">
        <f t="shared" si="16"/>
        <v>001.002.001.002.001.---</v>
      </c>
      <c r="L74" s="71">
        <f t="shared" si="17"/>
        <v>1</v>
      </c>
      <c r="M74" s="71">
        <f t="shared" si="18"/>
        <v>5</v>
      </c>
      <c r="N74" s="71" t="b">
        <f t="shared" si="19"/>
        <v>0</v>
      </c>
      <c r="O74" s="71" t="b">
        <f t="shared" si="20"/>
        <v>1</v>
      </c>
      <c r="P74" s="71" t="b">
        <f t="shared" si="21"/>
        <v>1</v>
      </c>
      <c r="Q74" s="71" t="b">
        <f t="shared" si="22"/>
        <v>1</v>
      </c>
      <c r="R74" s="71" t="str">
        <f t="shared" si="23"/>
        <v>1.2.1.2.1</v>
      </c>
      <c r="W74" s="60" t="s">
        <v>242</v>
      </c>
      <c r="AB74" s="63" t="s">
        <v>244</v>
      </c>
      <c r="AC74" s="63"/>
      <c r="AD74" s="63"/>
      <c r="AE74" s="63">
        <v>1</v>
      </c>
      <c r="AJ74" s="63"/>
      <c r="AK74" s="63"/>
      <c r="AN74" s="63"/>
      <c r="AO74" s="63"/>
    </row>
    <row r="75" spans="3:41" ht="18" customHeight="1">
      <c r="C75" s="63" t="s">
        <v>246</v>
      </c>
      <c r="D75" s="63" t="s">
        <v>246</v>
      </c>
      <c r="E75" s="63">
        <v>1</v>
      </c>
      <c r="F75" s="63">
        <v>2</v>
      </c>
      <c r="G75" s="63">
        <v>1</v>
      </c>
      <c r="H75" s="63">
        <v>2</v>
      </c>
      <c r="I75" s="63">
        <v>1</v>
      </c>
      <c r="J75" s="63">
        <v>1</v>
      </c>
      <c r="K75" s="71" t="str">
        <f t="shared" si="16"/>
        <v>001.002.001.002.001.001</v>
      </c>
      <c r="L75" s="71">
        <f t="shared" si="17"/>
        <v>1</v>
      </c>
      <c r="M75" s="71">
        <f t="shared" si="18"/>
        <v>5</v>
      </c>
      <c r="N75" s="71" t="b">
        <f t="shared" si="19"/>
        <v>1</v>
      </c>
      <c r="O75" s="71" t="b">
        <f t="shared" si="20"/>
        <v>1</v>
      </c>
      <c r="P75" s="71" t="b">
        <f t="shared" si="21"/>
        <v>1</v>
      </c>
      <c r="Q75" s="71" t="b">
        <f t="shared" si="22"/>
        <v>0</v>
      </c>
      <c r="R75" s="71" t="str">
        <f t="shared" si="23"/>
        <v>1.2.1.2.1.T1</v>
      </c>
      <c r="X75" s="60" t="s">
        <v>243</v>
      </c>
      <c r="AB75" s="63" t="s">
        <v>244</v>
      </c>
      <c r="AC75" s="63"/>
      <c r="AD75" s="63"/>
      <c r="AE75" s="63">
        <v>1</v>
      </c>
      <c r="AJ75" s="63"/>
      <c r="AK75" s="63"/>
      <c r="AN75" s="63"/>
      <c r="AO75" s="63"/>
    </row>
    <row r="76" spans="3:41" ht="18" customHeight="1">
      <c r="C76" s="63" t="s">
        <v>246</v>
      </c>
      <c r="D76" s="63" t="s">
        <v>246</v>
      </c>
      <c r="E76" s="63">
        <v>1</v>
      </c>
      <c r="F76" s="63">
        <v>2</v>
      </c>
      <c r="G76" s="63">
        <v>1</v>
      </c>
      <c r="H76" s="63">
        <v>2</v>
      </c>
      <c r="I76" s="63">
        <v>1</v>
      </c>
      <c r="J76" s="63">
        <v>2</v>
      </c>
      <c r="K76" s="71" t="str">
        <f t="shared" si="16"/>
        <v>001.002.001.002.001.002</v>
      </c>
      <c r="L76" s="71">
        <f t="shared" si="17"/>
        <v>1</v>
      </c>
      <c r="M76" s="71">
        <f t="shared" si="18"/>
        <v>5</v>
      </c>
      <c r="N76" s="71" t="b">
        <f t="shared" si="19"/>
        <v>1</v>
      </c>
      <c r="O76" s="71" t="b">
        <f t="shared" si="20"/>
        <v>1</v>
      </c>
      <c r="P76" s="71" t="b">
        <f t="shared" si="21"/>
        <v>1</v>
      </c>
      <c r="Q76" s="71" t="b">
        <f t="shared" si="22"/>
        <v>0</v>
      </c>
      <c r="R76" s="71" t="str">
        <f t="shared" si="23"/>
        <v>1.2.1.2.1.T2</v>
      </c>
      <c r="X76" s="60" t="s">
        <v>245</v>
      </c>
      <c r="AB76" s="63" t="s">
        <v>244</v>
      </c>
      <c r="AC76" s="63"/>
      <c r="AD76" s="63"/>
      <c r="AE76" s="63">
        <v>1</v>
      </c>
      <c r="AJ76" s="63"/>
      <c r="AK76" s="63"/>
      <c r="AN76" s="63"/>
      <c r="AO76" s="63"/>
    </row>
    <row r="77" spans="3:41" ht="18" customHeight="1">
      <c r="C77" s="63" t="s">
        <v>246</v>
      </c>
      <c r="D77" s="63" t="s">
        <v>246</v>
      </c>
      <c r="E77" s="63">
        <v>1</v>
      </c>
      <c r="F77" s="63">
        <v>2</v>
      </c>
      <c r="G77" s="63">
        <v>1</v>
      </c>
      <c r="H77" s="63">
        <v>2</v>
      </c>
      <c r="I77" s="63">
        <v>2</v>
      </c>
      <c r="J77" s="63"/>
      <c r="K77" s="71" t="str">
        <f t="shared" si="16"/>
        <v>001.002.001.002.002.---</v>
      </c>
      <c r="L77" s="71">
        <f t="shared" si="17"/>
        <v>1</v>
      </c>
      <c r="M77" s="71">
        <f t="shared" si="18"/>
        <v>5</v>
      </c>
      <c r="N77" s="71" t="b">
        <f t="shared" si="19"/>
        <v>0</v>
      </c>
      <c r="O77" s="71" t="b">
        <f t="shared" si="20"/>
        <v>1</v>
      </c>
      <c r="P77" s="71" t="b">
        <f t="shared" si="21"/>
        <v>1</v>
      </c>
      <c r="Q77" s="71" t="b">
        <f t="shared" si="22"/>
        <v>1</v>
      </c>
      <c r="R77" s="71" t="str">
        <f t="shared" si="23"/>
        <v>1.2.1.2.2</v>
      </c>
      <c r="AB77" s="63" t="s">
        <v>244</v>
      </c>
      <c r="AC77" s="63"/>
      <c r="AD77" s="63"/>
      <c r="AE77" s="63">
        <v>1</v>
      </c>
      <c r="AJ77" s="63"/>
      <c r="AK77" s="63"/>
      <c r="AN77" s="63"/>
      <c r="AO77" s="63"/>
    </row>
    <row r="78" spans="3:41" ht="18" customHeight="1">
      <c r="C78" s="63" t="s">
        <v>246</v>
      </c>
      <c r="D78" s="63" t="s">
        <v>246</v>
      </c>
      <c r="E78" s="63">
        <v>1</v>
      </c>
      <c r="F78" s="63">
        <v>2</v>
      </c>
      <c r="G78" s="63">
        <v>1</v>
      </c>
      <c r="H78" s="63">
        <v>2</v>
      </c>
      <c r="I78" s="63">
        <v>2</v>
      </c>
      <c r="J78" s="63">
        <v>1</v>
      </c>
      <c r="K78" s="71" t="str">
        <f t="shared" si="16"/>
        <v>001.002.001.002.002.001</v>
      </c>
      <c r="L78" s="71">
        <f t="shared" si="17"/>
        <v>1</v>
      </c>
      <c r="M78" s="71">
        <f t="shared" si="18"/>
        <v>5</v>
      </c>
      <c r="N78" s="71" t="b">
        <f t="shared" si="19"/>
        <v>1</v>
      </c>
      <c r="O78" s="71" t="b">
        <f t="shared" si="20"/>
        <v>1</v>
      </c>
      <c r="P78" s="71" t="b">
        <f t="shared" si="21"/>
        <v>1</v>
      </c>
      <c r="Q78" s="71" t="b">
        <f t="shared" si="22"/>
        <v>0</v>
      </c>
      <c r="R78" s="71" t="str">
        <f t="shared" si="23"/>
        <v>1.2.1.2.2.T1</v>
      </c>
      <c r="X78" s="60" t="s">
        <v>243</v>
      </c>
      <c r="AB78" s="63" t="s">
        <v>244</v>
      </c>
      <c r="AC78" s="63"/>
      <c r="AD78" s="63"/>
      <c r="AE78" s="63">
        <v>1</v>
      </c>
      <c r="AJ78" s="63"/>
      <c r="AK78" s="63"/>
      <c r="AN78" s="63"/>
      <c r="AO78" s="63"/>
    </row>
    <row r="79" spans="3:41" ht="18" customHeight="1">
      <c r="C79" s="63" t="s">
        <v>246</v>
      </c>
      <c r="D79" s="63" t="s">
        <v>246</v>
      </c>
      <c r="E79" s="63">
        <v>1</v>
      </c>
      <c r="F79" s="63">
        <v>2</v>
      </c>
      <c r="G79" s="63">
        <v>1</v>
      </c>
      <c r="H79" s="63">
        <v>2</v>
      </c>
      <c r="I79" s="63">
        <v>2</v>
      </c>
      <c r="J79" s="63">
        <v>2</v>
      </c>
      <c r="K79" s="71" t="str">
        <f t="shared" si="16"/>
        <v>001.002.001.002.002.002</v>
      </c>
      <c r="L79" s="71">
        <f t="shared" si="17"/>
        <v>1</v>
      </c>
      <c r="M79" s="71">
        <f t="shared" si="18"/>
        <v>5</v>
      </c>
      <c r="N79" s="71" t="b">
        <f t="shared" si="19"/>
        <v>1</v>
      </c>
      <c r="O79" s="71" t="b">
        <f t="shared" si="20"/>
        <v>1</v>
      </c>
      <c r="P79" s="71" t="b">
        <f t="shared" si="21"/>
        <v>1</v>
      </c>
      <c r="Q79" s="71" t="b">
        <f t="shared" si="22"/>
        <v>0</v>
      </c>
      <c r="R79" s="71" t="str">
        <f t="shared" si="23"/>
        <v>1.2.1.2.2.T2</v>
      </c>
      <c r="X79" s="60" t="s">
        <v>245</v>
      </c>
      <c r="AB79" s="63" t="s">
        <v>244</v>
      </c>
      <c r="AC79" s="63"/>
      <c r="AD79" s="63"/>
      <c r="AE79" s="63">
        <v>1</v>
      </c>
      <c r="AJ79" s="63"/>
      <c r="AK79" s="63"/>
      <c r="AN79" s="63"/>
      <c r="AO79" s="63"/>
    </row>
    <row r="80" spans="3:41" ht="18" customHeight="1">
      <c r="C80" s="63" t="s">
        <v>246</v>
      </c>
      <c r="D80" s="63" t="s">
        <v>246</v>
      </c>
      <c r="E80" s="63">
        <v>1</v>
      </c>
      <c r="F80" s="63">
        <v>2</v>
      </c>
      <c r="G80" s="63">
        <v>2</v>
      </c>
      <c r="H80" s="63"/>
      <c r="I80" s="63"/>
      <c r="J80" s="63"/>
      <c r="K80" s="71" t="str">
        <f t="shared" si="16"/>
        <v>001.002.002.---.---.---</v>
      </c>
      <c r="L80" s="71">
        <f t="shared" si="17"/>
        <v>1</v>
      </c>
      <c r="M80" s="71">
        <f t="shared" si="18"/>
        <v>3</v>
      </c>
      <c r="N80" s="71" t="b">
        <f t="shared" si="19"/>
        <v>0</v>
      </c>
      <c r="O80" s="71" t="b">
        <f t="shared" si="20"/>
        <v>1</v>
      </c>
      <c r="P80" s="71" t="b">
        <f t="shared" si="21"/>
        <v>1</v>
      </c>
      <c r="Q80" s="71" t="b">
        <f t="shared" si="22"/>
        <v>1</v>
      </c>
      <c r="R80" s="71" t="str">
        <f t="shared" si="23"/>
        <v>1.2.2</v>
      </c>
      <c r="AB80" s="63" t="s">
        <v>244</v>
      </c>
      <c r="AC80" s="63"/>
      <c r="AD80" s="63"/>
      <c r="AE80" s="63">
        <v>1</v>
      </c>
      <c r="AJ80" s="63"/>
      <c r="AK80" s="63"/>
      <c r="AN80" s="63"/>
      <c r="AO80" s="63"/>
    </row>
    <row r="81" spans="3:41" ht="18" customHeight="1">
      <c r="C81" s="63" t="s">
        <v>246</v>
      </c>
      <c r="D81" s="63" t="s">
        <v>246</v>
      </c>
      <c r="E81" s="63">
        <v>1</v>
      </c>
      <c r="F81" s="63">
        <v>2</v>
      </c>
      <c r="G81" s="63">
        <v>2</v>
      </c>
      <c r="H81" s="63"/>
      <c r="I81" s="63"/>
      <c r="J81" s="63">
        <v>1</v>
      </c>
      <c r="K81" s="71" t="str">
        <f t="shared" si="16"/>
        <v>001.002.002.---.---.001</v>
      </c>
      <c r="L81" s="71">
        <f t="shared" si="17"/>
        <v>1</v>
      </c>
      <c r="M81" s="71">
        <f t="shared" si="18"/>
        <v>3</v>
      </c>
      <c r="N81" s="71" t="b">
        <f t="shared" si="19"/>
        <v>1</v>
      </c>
      <c r="O81" s="71" t="b">
        <f t="shared" si="20"/>
        <v>0</v>
      </c>
      <c r="P81" s="71" t="b">
        <f t="shared" si="21"/>
        <v>1</v>
      </c>
      <c r="Q81" s="71" t="b">
        <f t="shared" si="22"/>
        <v>0</v>
      </c>
      <c r="R81" s="71" t="str">
        <f t="shared" si="23"/>
        <v>1.2.2.T1</v>
      </c>
      <c r="X81" s="60" t="s">
        <v>234</v>
      </c>
      <c r="AB81" s="63" t="s">
        <v>235</v>
      </c>
      <c r="AC81" s="63"/>
      <c r="AD81" s="63"/>
      <c r="AE81" s="63">
        <v>1</v>
      </c>
      <c r="AJ81" s="63"/>
      <c r="AK81" s="63"/>
      <c r="AN81" s="63"/>
      <c r="AO81" s="63"/>
    </row>
    <row r="82" spans="3:41" ht="18" customHeight="1">
      <c r="C82" s="63" t="s">
        <v>246</v>
      </c>
      <c r="D82" s="63" t="s">
        <v>246</v>
      </c>
      <c r="E82" s="63">
        <v>1</v>
      </c>
      <c r="F82" s="63">
        <v>2</v>
      </c>
      <c r="G82" s="63">
        <v>2</v>
      </c>
      <c r="H82" s="63"/>
      <c r="I82" s="63"/>
      <c r="J82" s="63">
        <v>2</v>
      </c>
      <c r="K82" s="71" t="str">
        <f t="shared" si="16"/>
        <v>001.002.002.---.---.002</v>
      </c>
      <c r="L82" s="71">
        <f t="shared" si="17"/>
        <v>1</v>
      </c>
      <c r="M82" s="71">
        <f t="shared" si="18"/>
        <v>3</v>
      </c>
      <c r="N82" s="71" t="b">
        <f t="shared" si="19"/>
        <v>1</v>
      </c>
      <c r="O82" s="71" t="b">
        <f t="shared" si="20"/>
        <v>1</v>
      </c>
      <c r="P82" s="71" t="b">
        <f t="shared" si="21"/>
        <v>1</v>
      </c>
      <c r="Q82" s="71" t="b">
        <f t="shared" si="22"/>
        <v>0</v>
      </c>
      <c r="R82" s="71" t="str">
        <f t="shared" si="23"/>
        <v>1.2.2.T2</v>
      </c>
      <c r="X82" s="60" t="s">
        <v>236</v>
      </c>
      <c r="AB82" s="63" t="s">
        <v>237</v>
      </c>
      <c r="AC82" s="63"/>
      <c r="AD82" s="63"/>
      <c r="AE82" s="63">
        <v>1</v>
      </c>
      <c r="AJ82" s="63"/>
      <c r="AK82" s="63"/>
      <c r="AN82" s="63"/>
      <c r="AO82" s="63"/>
    </row>
    <row r="83" spans="3:41" ht="18" customHeight="1">
      <c r="C83" s="63" t="s">
        <v>246</v>
      </c>
      <c r="D83" s="63" t="s">
        <v>246</v>
      </c>
      <c r="E83" s="63">
        <v>1</v>
      </c>
      <c r="F83" s="63">
        <v>2</v>
      </c>
      <c r="G83" s="63">
        <v>2</v>
      </c>
      <c r="H83" s="63">
        <v>1</v>
      </c>
      <c r="I83" s="63"/>
      <c r="J83" s="63"/>
      <c r="K83" s="71" t="str">
        <f t="shared" si="16"/>
        <v>001.002.002.001.---.---</v>
      </c>
      <c r="L83" s="71">
        <f t="shared" si="17"/>
        <v>1</v>
      </c>
      <c r="M83" s="71">
        <f t="shared" si="18"/>
        <v>4</v>
      </c>
      <c r="N83" s="71" t="b">
        <f t="shared" si="19"/>
        <v>0</v>
      </c>
      <c r="O83" s="71" t="b">
        <f t="shared" si="20"/>
        <v>1</v>
      </c>
      <c r="P83" s="71" t="b">
        <f t="shared" si="21"/>
        <v>1</v>
      </c>
      <c r="Q83" s="71" t="b">
        <f t="shared" si="22"/>
        <v>1</v>
      </c>
      <c r="R83" s="71" t="str">
        <f t="shared" si="23"/>
        <v>1.2.2.1</v>
      </c>
      <c r="AB83" s="63" t="s">
        <v>244</v>
      </c>
      <c r="AC83" s="63"/>
      <c r="AD83" s="63"/>
      <c r="AE83" s="63">
        <v>1</v>
      </c>
      <c r="AJ83" s="63"/>
      <c r="AK83" s="63"/>
      <c r="AN83" s="63"/>
      <c r="AO83" s="63"/>
    </row>
    <row r="84" spans="3:41" ht="18" customHeight="1">
      <c r="C84" s="63" t="s">
        <v>246</v>
      </c>
      <c r="D84" s="63" t="s">
        <v>246</v>
      </c>
      <c r="E84" s="63">
        <v>1</v>
      </c>
      <c r="F84" s="63">
        <v>2</v>
      </c>
      <c r="G84" s="63">
        <v>2</v>
      </c>
      <c r="H84" s="63">
        <v>1</v>
      </c>
      <c r="I84" s="63"/>
      <c r="J84" s="63">
        <v>1</v>
      </c>
      <c r="K84" s="71" t="str">
        <f t="shared" si="16"/>
        <v>001.002.002.001.---.001</v>
      </c>
      <c r="L84" s="71">
        <f t="shared" si="17"/>
        <v>1</v>
      </c>
      <c r="M84" s="71">
        <f t="shared" si="18"/>
        <v>4</v>
      </c>
      <c r="N84" s="71" t="b">
        <f t="shared" si="19"/>
        <v>1</v>
      </c>
      <c r="O84" s="71" t="b">
        <f t="shared" si="20"/>
        <v>1</v>
      </c>
      <c r="P84" s="71" t="b">
        <f t="shared" si="21"/>
        <v>1</v>
      </c>
      <c r="Q84" s="71" t="b">
        <f t="shared" si="22"/>
        <v>0</v>
      </c>
      <c r="R84" s="71" t="str">
        <f t="shared" si="23"/>
        <v>1.2.2.1.T1</v>
      </c>
      <c r="V84" s="60" t="s">
        <v>238</v>
      </c>
      <c r="X84" s="60" t="s">
        <v>239</v>
      </c>
      <c r="AB84" s="63" t="s">
        <v>203</v>
      </c>
      <c r="AC84" s="63"/>
      <c r="AD84" s="63"/>
      <c r="AE84" s="63">
        <v>1</v>
      </c>
      <c r="AJ84" s="63"/>
      <c r="AK84" s="63"/>
      <c r="AN84" s="63"/>
      <c r="AO84" s="63"/>
    </row>
    <row r="85" spans="3:41" ht="18" customHeight="1">
      <c r="C85" s="63" t="s">
        <v>246</v>
      </c>
      <c r="D85" s="63" t="s">
        <v>246</v>
      </c>
      <c r="E85" s="63">
        <v>1</v>
      </c>
      <c r="F85" s="63">
        <v>2</v>
      </c>
      <c r="G85" s="63">
        <v>2</v>
      </c>
      <c r="H85" s="63">
        <v>1</v>
      </c>
      <c r="I85" s="63"/>
      <c r="J85" s="63">
        <v>2</v>
      </c>
      <c r="K85" s="71" t="str">
        <f t="shared" si="16"/>
        <v>001.002.002.001.---.002</v>
      </c>
      <c r="L85" s="71">
        <f t="shared" si="17"/>
        <v>1</v>
      </c>
      <c r="M85" s="71">
        <f t="shared" si="18"/>
        <v>4</v>
      </c>
      <c r="N85" s="71" t="b">
        <f t="shared" si="19"/>
        <v>1</v>
      </c>
      <c r="O85" s="71" t="b">
        <f t="shared" si="20"/>
        <v>1</v>
      </c>
      <c r="P85" s="71" t="b">
        <f t="shared" si="21"/>
        <v>1</v>
      </c>
      <c r="Q85" s="71" t="b">
        <f t="shared" si="22"/>
        <v>0</v>
      </c>
      <c r="R85" s="71" t="str">
        <f t="shared" si="23"/>
        <v>1.2.2.1.T2</v>
      </c>
      <c r="X85" s="60" t="s">
        <v>240</v>
      </c>
      <c r="AB85" s="63" t="s">
        <v>241</v>
      </c>
      <c r="AC85" s="63"/>
      <c r="AD85" s="63"/>
      <c r="AE85" s="63">
        <v>1</v>
      </c>
      <c r="AJ85" s="63"/>
      <c r="AK85" s="63"/>
      <c r="AN85" s="63"/>
      <c r="AO85" s="63"/>
    </row>
    <row r="86" spans="3:41" ht="18" customHeight="1">
      <c r="C86" s="63" t="s">
        <v>246</v>
      </c>
      <c r="D86" s="63" t="s">
        <v>246</v>
      </c>
      <c r="E86" s="63">
        <v>1</v>
      </c>
      <c r="F86" s="63">
        <v>2</v>
      </c>
      <c r="G86" s="63">
        <v>2</v>
      </c>
      <c r="H86" s="63">
        <v>1</v>
      </c>
      <c r="I86" s="63">
        <v>1</v>
      </c>
      <c r="J86" s="63"/>
      <c r="K86" s="71" t="str">
        <f t="shared" si="16"/>
        <v>001.002.002.001.001.---</v>
      </c>
      <c r="L86" s="71">
        <f t="shared" si="17"/>
        <v>1</v>
      </c>
      <c r="M86" s="71">
        <f t="shared" si="18"/>
        <v>5</v>
      </c>
      <c r="N86" s="71" t="b">
        <f t="shared" si="19"/>
        <v>0</v>
      </c>
      <c r="O86" s="71" t="b">
        <f t="shared" si="20"/>
        <v>1</v>
      </c>
      <c r="P86" s="71" t="b">
        <f t="shared" si="21"/>
        <v>1</v>
      </c>
      <c r="Q86" s="71" t="b">
        <f t="shared" si="22"/>
        <v>1</v>
      </c>
      <c r="R86" s="71" t="str">
        <f t="shared" si="23"/>
        <v>1.2.2.1.1</v>
      </c>
      <c r="W86" s="60" t="s">
        <v>242</v>
      </c>
      <c r="AB86" s="63" t="s">
        <v>244</v>
      </c>
      <c r="AC86" s="63"/>
      <c r="AD86" s="63"/>
      <c r="AE86" s="63">
        <v>1</v>
      </c>
      <c r="AJ86" s="63"/>
      <c r="AK86" s="63"/>
      <c r="AN86" s="63"/>
      <c r="AO86" s="63"/>
    </row>
    <row r="87" spans="3:41" ht="18" customHeight="1">
      <c r="C87" s="63" t="s">
        <v>246</v>
      </c>
      <c r="D87" s="63" t="s">
        <v>246</v>
      </c>
      <c r="E87" s="63">
        <v>1</v>
      </c>
      <c r="F87" s="63">
        <v>2</v>
      </c>
      <c r="G87" s="63">
        <v>2</v>
      </c>
      <c r="H87" s="63">
        <v>1</v>
      </c>
      <c r="I87" s="63">
        <v>1</v>
      </c>
      <c r="J87" s="63">
        <v>1</v>
      </c>
      <c r="K87" s="71" t="str">
        <f t="shared" si="16"/>
        <v>001.002.002.001.001.001</v>
      </c>
      <c r="L87" s="71">
        <f t="shared" si="17"/>
        <v>1</v>
      </c>
      <c r="M87" s="71">
        <f t="shared" si="18"/>
        <v>5</v>
      </c>
      <c r="N87" s="71" t="b">
        <f t="shared" si="19"/>
        <v>1</v>
      </c>
      <c r="O87" s="71" t="b">
        <f t="shared" si="20"/>
        <v>1</v>
      </c>
      <c r="P87" s="71" t="b">
        <f t="shared" si="21"/>
        <v>1</v>
      </c>
      <c r="Q87" s="71" t="b">
        <f t="shared" si="22"/>
        <v>0</v>
      </c>
      <c r="R87" s="71" t="str">
        <f t="shared" si="23"/>
        <v>1.2.2.1.1.T1</v>
      </c>
      <c r="X87" s="60" t="s">
        <v>243</v>
      </c>
      <c r="AB87" s="63" t="s">
        <v>244</v>
      </c>
      <c r="AC87" s="63"/>
      <c r="AD87" s="63"/>
      <c r="AE87" s="63">
        <v>1</v>
      </c>
      <c r="AJ87" s="63"/>
      <c r="AK87" s="63"/>
      <c r="AN87" s="63"/>
      <c r="AO87" s="63"/>
    </row>
    <row r="88" spans="3:41" ht="18" customHeight="1">
      <c r="C88" s="63" t="s">
        <v>246</v>
      </c>
      <c r="D88" s="63" t="s">
        <v>246</v>
      </c>
      <c r="E88" s="63">
        <v>1</v>
      </c>
      <c r="F88" s="63">
        <v>2</v>
      </c>
      <c r="G88" s="63">
        <v>2</v>
      </c>
      <c r="H88" s="63">
        <v>1</v>
      </c>
      <c r="I88" s="63">
        <v>1</v>
      </c>
      <c r="J88" s="63">
        <v>2</v>
      </c>
      <c r="K88" s="71" t="str">
        <f t="shared" si="16"/>
        <v>001.002.002.001.001.002</v>
      </c>
      <c r="L88" s="71">
        <f t="shared" si="17"/>
        <v>1</v>
      </c>
      <c r="M88" s="71">
        <f t="shared" si="18"/>
        <v>5</v>
      </c>
      <c r="N88" s="71" t="b">
        <f t="shared" si="19"/>
        <v>1</v>
      </c>
      <c r="O88" s="71" t="b">
        <f t="shared" si="20"/>
        <v>1</v>
      </c>
      <c r="P88" s="71" t="b">
        <f t="shared" si="21"/>
        <v>1</v>
      </c>
      <c r="Q88" s="71" t="b">
        <f t="shared" si="22"/>
        <v>0</v>
      </c>
      <c r="R88" s="71" t="str">
        <f t="shared" si="23"/>
        <v>1.2.2.1.1.T2</v>
      </c>
      <c r="X88" s="60" t="s">
        <v>245</v>
      </c>
      <c r="AB88" s="63" t="s">
        <v>244</v>
      </c>
      <c r="AC88" s="63"/>
      <c r="AD88" s="63"/>
      <c r="AE88" s="63">
        <v>1</v>
      </c>
      <c r="AJ88" s="63"/>
      <c r="AK88" s="63"/>
      <c r="AN88" s="63"/>
      <c r="AO88" s="63"/>
    </row>
    <row r="89" spans="3:41" ht="18" customHeight="1">
      <c r="C89" s="63" t="s">
        <v>246</v>
      </c>
      <c r="D89" s="63" t="s">
        <v>246</v>
      </c>
      <c r="E89" s="63">
        <v>1</v>
      </c>
      <c r="F89" s="63">
        <v>2</v>
      </c>
      <c r="G89" s="63">
        <v>2</v>
      </c>
      <c r="H89" s="63">
        <v>1</v>
      </c>
      <c r="I89" s="63">
        <v>2</v>
      </c>
      <c r="J89" s="63"/>
      <c r="K89" s="71" t="str">
        <f t="shared" si="16"/>
        <v>001.002.002.001.002.---</v>
      </c>
      <c r="L89" s="71">
        <f t="shared" si="17"/>
        <v>1</v>
      </c>
      <c r="M89" s="71">
        <f t="shared" si="18"/>
        <v>5</v>
      </c>
      <c r="N89" s="71" t="b">
        <f t="shared" si="19"/>
        <v>0</v>
      </c>
      <c r="O89" s="71" t="b">
        <f t="shared" si="20"/>
        <v>1</v>
      </c>
      <c r="P89" s="71" t="b">
        <f t="shared" si="21"/>
        <v>1</v>
      </c>
      <c r="Q89" s="71" t="b">
        <f t="shared" si="22"/>
        <v>1</v>
      </c>
      <c r="R89" s="71" t="str">
        <f t="shared" si="23"/>
        <v>1.2.2.1.2</v>
      </c>
      <c r="AB89" s="63" t="s">
        <v>244</v>
      </c>
      <c r="AC89" s="63"/>
      <c r="AD89" s="63"/>
      <c r="AE89" s="63">
        <v>1</v>
      </c>
      <c r="AJ89" s="63"/>
      <c r="AK89" s="63"/>
      <c r="AN89" s="63"/>
      <c r="AO89" s="63"/>
    </row>
    <row r="90" spans="3:41" ht="18" customHeight="1">
      <c r="C90" s="63" t="s">
        <v>246</v>
      </c>
      <c r="D90" s="63" t="s">
        <v>246</v>
      </c>
      <c r="E90" s="63">
        <v>1</v>
      </c>
      <c r="F90" s="63">
        <v>2</v>
      </c>
      <c r="G90" s="63">
        <v>2</v>
      </c>
      <c r="H90" s="63">
        <v>1</v>
      </c>
      <c r="I90" s="63">
        <v>2</v>
      </c>
      <c r="J90" s="63">
        <v>1</v>
      </c>
      <c r="K90" s="71" t="str">
        <f t="shared" si="16"/>
        <v>001.002.002.001.002.001</v>
      </c>
      <c r="L90" s="71">
        <f t="shared" si="17"/>
        <v>1</v>
      </c>
      <c r="M90" s="71">
        <f t="shared" si="18"/>
        <v>5</v>
      </c>
      <c r="N90" s="71" t="b">
        <f t="shared" si="19"/>
        <v>1</v>
      </c>
      <c r="O90" s="71" t="b">
        <f t="shared" si="20"/>
        <v>1</v>
      </c>
      <c r="P90" s="71" t="b">
        <f t="shared" si="21"/>
        <v>1</v>
      </c>
      <c r="Q90" s="71" t="b">
        <f t="shared" si="22"/>
        <v>0</v>
      </c>
      <c r="R90" s="71" t="str">
        <f t="shared" si="23"/>
        <v>1.2.2.1.2.T1</v>
      </c>
      <c r="X90" s="60" t="s">
        <v>243</v>
      </c>
      <c r="AB90" s="63" t="s">
        <v>244</v>
      </c>
      <c r="AC90" s="63"/>
      <c r="AD90" s="63"/>
      <c r="AE90" s="63">
        <v>1</v>
      </c>
      <c r="AJ90" s="63"/>
      <c r="AK90" s="63"/>
      <c r="AN90" s="63"/>
      <c r="AO90" s="63"/>
    </row>
    <row r="91" spans="3:41" ht="18" customHeight="1">
      <c r="C91" s="63" t="s">
        <v>246</v>
      </c>
      <c r="D91" s="63" t="s">
        <v>246</v>
      </c>
      <c r="E91" s="63">
        <v>1</v>
      </c>
      <c r="F91" s="63">
        <v>2</v>
      </c>
      <c r="G91" s="63">
        <v>2</v>
      </c>
      <c r="H91" s="63">
        <v>1</v>
      </c>
      <c r="I91" s="63">
        <v>2</v>
      </c>
      <c r="J91" s="63">
        <v>2</v>
      </c>
      <c r="K91" s="71" t="str">
        <f t="shared" si="16"/>
        <v>001.002.002.001.002.002</v>
      </c>
      <c r="L91" s="71">
        <f t="shared" si="17"/>
        <v>1</v>
      </c>
      <c r="M91" s="71">
        <f t="shared" si="18"/>
        <v>5</v>
      </c>
      <c r="N91" s="71" t="b">
        <f t="shared" si="19"/>
        <v>1</v>
      </c>
      <c r="O91" s="71" t="b">
        <f t="shared" si="20"/>
        <v>1</v>
      </c>
      <c r="P91" s="71" t="b">
        <f t="shared" si="21"/>
        <v>1</v>
      </c>
      <c r="Q91" s="71" t="b">
        <f t="shared" si="22"/>
        <v>0</v>
      </c>
      <c r="R91" s="71" t="str">
        <f t="shared" si="23"/>
        <v>1.2.2.1.2.T2</v>
      </c>
      <c r="X91" s="60" t="s">
        <v>245</v>
      </c>
      <c r="AB91" s="63" t="s">
        <v>244</v>
      </c>
      <c r="AC91" s="63"/>
      <c r="AD91" s="63"/>
      <c r="AE91" s="63">
        <v>1</v>
      </c>
      <c r="AJ91" s="63"/>
      <c r="AK91" s="63"/>
      <c r="AN91" s="63"/>
      <c r="AO91" s="63"/>
    </row>
    <row r="92" spans="3:41" ht="18" customHeight="1">
      <c r="C92" s="63" t="s">
        <v>246</v>
      </c>
      <c r="D92" s="63" t="s">
        <v>246</v>
      </c>
      <c r="E92" s="63">
        <v>1</v>
      </c>
      <c r="F92" s="63">
        <v>2</v>
      </c>
      <c r="G92" s="63">
        <v>2</v>
      </c>
      <c r="H92" s="63">
        <v>2</v>
      </c>
      <c r="I92" s="63"/>
      <c r="J92" s="63"/>
      <c r="K92" s="71" t="str">
        <f t="shared" si="16"/>
        <v>001.002.002.002.---.---</v>
      </c>
      <c r="L92" s="71">
        <f t="shared" si="17"/>
        <v>1</v>
      </c>
      <c r="M92" s="71">
        <f t="shared" si="18"/>
        <v>4</v>
      </c>
      <c r="N92" s="71" t="b">
        <f t="shared" si="19"/>
        <v>0</v>
      </c>
      <c r="O92" s="71" t="b">
        <f t="shared" si="20"/>
        <v>1</v>
      </c>
      <c r="P92" s="71" t="b">
        <f t="shared" si="21"/>
        <v>1</v>
      </c>
      <c r="Q92" s="71" t="b">
        <f t="shared" si="22"/>
        <v>1</v>
      </c>
      <c r="R92" s="71" t="str">
        <f t="shared" si="23"/>
        <v>1.2.2.2</v>
      </c>
      <c r="AB92" s="63" t="s">
        <v>244</v>
      </c>
      <c r="AC92" s="63"/>
      <c r="AD92" s="63"/>
      <c r="AE92" s="63">
        <v>1</v>
      </c>
      <c r="AJ92" s="63"/>
      <c r="AK92" s="63"/>
      <c r="AN92" s="63"/>
      <c r="AO92" s="63"/>
    </row>
    <row r="93" spans="3:41" ht="18" customHeight="1">
      <c r="C93" s="63" t="s">
        <v>246</v>
      </c>
      <c r="D93" s="63" t="s">
        <v>246</v>
      </c>
      <c r="E93" s="63">
        <v>1</v>
      </c>
      <c r="F93" s="63">
        <v>2</v>
      </c>
      <c r="G93" s="63">
        <v>2</v>
      </c>
      <c r="H93" s="63">
        <v>2</v>
      </c>
      <c r="I93" s="63"/>
      <c r="J93" s="63">
        <v>1</v>
      </c>
      <c r="K93" s="71" t="str">
        <f t="shared" si="16"/>
        <v>001.002.002.002.---.001</v>
      </c>
      <c r="L93" s="71">
        <f t="shared" si="17"/>
        <v>1</v>
      </c>
      <c r="M93" s="71">
        <f t="shared" si="18"/>
        <v>4</v>
      </c>
      <c r="N93" s="71" t="b">
        <f t="shared" si="19"/>
        <v>1</v>
      </c>
      <c r="O93" s="71" t="b">
        <f t="shared" si="20"/>
        <v>1</v>
      </c>
      <c r="P93" s="71" t="b">
        <f t="shared" si="21"/>
        <v>1</v>
      </c>
      <c r="Q93" s="71" t="b">
        <f t="shared" si="22"/>
        <v>0</v>
      </c>
      <c r="R93" s="71" t="str">
        <f t="shared" si="23"/>
        <v>1.2.2.2.T1</v>
      </c>
      <c r="X93" s="60" t="s">
        <v>239</v>
      </c>
      <c r="AB93" s="63" t="s">
        <v>203</v>
      </c>
      <c r="AC93" s="63"/>
      <c r="AD93" s="63"/>
      <c r="AE93" s="63">
        <v>1</v>
      </c>
      <c r="AJ93" s="63"/>
      <c r="AK93" s="63"/>
      <c r="AN93" s="63"/>
      <c r="AO93" s="63"/>
    </row>
    <row r="94" spans="3:41" ht="18" customHeight="1">
      <c r="C94" s="63" t="s">
        <v>246</v>
      </c>
      <c r="D94" s="63" t="s">
        <v>246</v>
      </c>
      <c r="E94" s="63">
        <v>1</v>
      </c>
      <c r="F94" s="63">
        <v>2</v>
      </c>
      <c r="G94" s="63">
        <v>2</v>
      </c>
      <c r="H94" s="63">
        <v>2</v>
      </c>
      <c r="I94" s="63"/>
      <c r="J94" s="63">
        <v>2</v>
      </c>
      <c r="K94" s="71" t="str">
        <f t="shared" si="16"/>
        <v>001.002.002.002.---.002</v>
      </c>
      <c r="L94" s="71">
        <f t="shared" si="17"/>
        <v>1</v>
      </c>
      <c r="M94" s="71">
        <f t="shared" si="18"/>
        <v>4</v>
      </c>
      <c r="N94" s="71" t="b">
        <f t="shared" si="19"/>
        <v>1</v>
      </c>
      <c r="O94" s="71" t="b">
        <f t="shared" si="20"/>
        <v>1</v>
      </c>
      <c r="P94" s="71" t="b">
        <f t="shared" si="21"/>
        <v>1</v>
      </c>
      <c r="Q94" s="71" t="b">
        <f t="shared" si="22"/>
        <v>0</v>
      </c>
      <c r="R94" s="71" t="str">
        <f t="shared" si="23"/>
        <v>1.2.2.2.T2</v>
      </c>
      <c r="X94" s="60" t="s">
        <v>240</v>
      </c>
      <c r="AB94" s="63" t="s">
        <v>241</v>
      </c>
      <c r="AC94" s="63"/>
      <c r="AD94" s="63"/>
      <c r="AE94" s="63">
        <v>1</v>
      </c>
      <c r="AJ94" s="63"/>
      <c r="AK94" s="63"/>
      <c r="AN94" s="63"/>
      <c r="AO94" s="63"/>
    </row>
    <row r="95" spans="3:41" ht="18" customHeight="1">
      <c r="C95" s="63" t="s">
        <v>246</v>
      </c>
      <c r="D95" s="63" t="s">
        <v>246</v>
      </c>
      <c r="E95" s="63">
        <v>1</v>
      </c>
      <c r="F95" s="63">
        <v>2</v>
      </c>
      <c r="G95" s="63">
        <v>2</v>
      </c>
      <c r="H95" s="63">
        <v>2</v>
      </c>
      <c r="I95" s="63">
        <v>1</v>
      </c>
      <c r="J95" s="63"/>
      <c r="K95" s="71" t="str">
        <f t="shared" si="16"/>
        <v>001.002.002.002.001.---</v>
      </c>
      <c r="L95" s="71">
        <f t="shared" si="17"/>
        <v>1</v>
      </c>
      <c r="M95" s="71">
        <f t="shared" si="18"/>
        <v>5</v>
      </c>
      <c r="N95" s="71" t="b">
        <f t="shared" si="19"/>
        <v>0</v>
      </c>
      <c r="O95" s="71" t="b">
        <f t="shared" si="20"/>
        <v>1</v>
      </c>
      <c r="P95" s="71" t="b">
        <f t="shared" si="21"/>
        <v>1</v>
      </c>
      <c r="Q95" s="71" t="b">
        <f t="shared" si="22"/>
        <v>1</v>
      </c>
      <c r="R95" s="71" t="str">
        <f t="shared" si="23"/>
        <v>1.2.2.2.1</v>
      </c>
      <c r="W95" s="60" t="s">
        <v>242</v>
      </c>
      <c r="AB95" s="63" t="s">
        <v>244</v>
      </c>
      <c r="AC95" s="63"/>
      <c r="AD95" s="63"/>
      <c r="AE95" s="63">
        <v>1</v>
      </c>
      <c r="AJ95" s="63"/>
      <c r="AK95" s="63"/>
      <c r="AN95" s="63"/>
      <c r="AO95" s="63"/>
    </row>
    <row r="96" spans="3:41" ht="18" customHeight="1">
      <c r="C96" s="63" t="s">
        <v>246</v>
      </c>
      <c r="D96" s="63" t="s">
        <v>246</v>
      </c>
      <c r="E96" s="63">
        <v>1</v>
      </c>
      <c r="F96" s="63">
        <v>2</v>
      </c>
      <c r="G96" s="63">
        <v>2</v>
      </c>
      <c r="H96" s="63">
        <v>2</v>
      </c>
      <c r="I96" s="63">
        <v>1</v>
      </c>
      <c r="J96" s="63">
        <v>1</v>
      </c>
      <c r="K96" s="71" t="str">
        <f t="shared" si="16"/>
        <v>001.002.002.002.001.001</v>
      </c>
      <c r="L96" s="71">
        <f t="shared" si="17"/>
        <v>1</v>
      </c>
      <c r="M96" s="71">
        <f t="shared" si="18"/>
        <v>5</v>
      </c>
      <c r="N96" s="71" t="b">
        <f t="shared" si="19"/>
        <v>1</v>
      </c>
      <c r="O96" s="71" t="b">
        <f t="shared" si="20"/>
        <v>1</v>
      </c>
      <c r="P96" s="71" t="b">
        <f t="shared" si="21"/>
        <v>1</v>
      </c>
      <c r="Q96" s="71" t="b">
        <f t="shared" si="22"/>
        <v>0</v>
      </c>
      <c r="R96" s="71" t="str">
        <f t="shared" si="23"/>
        <v>1.2.2.2.1.T1</v>
      </c>
      <c r="X96" s="60" t="s">
        <v>243</v>
      </c>
      <c r="AB96" s="63" t="s">
        <v>244</v>
      </c>
      <c r="AC96" s="63"/>
      <c r="AD96" s="63"/>
      <c r="AE96" s="63">
        <v>1</v>
      </c>
      <c r="AJ96" s="63"/>
      <c r="AK96" s="63"/>
      <c r="AN96" s="63"/>
      <c r="AO96" s="63"/>
    </row>
    <row r="97" spans="3:41" ht="18" customHeight="1">
      <c r="C97" s="63" t="s">
        <v>246</v>
      </c>
      <c r="D97" s="63" t="s">
        <v>246</v>
      </c>
      <c r="E97" s="63">
        <v>1</v>
      </c>
      <c r="F97" s="63">
        <v>2</v>
      </c>
      <c r="G97" s="63">
        <v>2</v>
      </c>
      <c r="H97" s="63">
        <v>2</v>
      </c>
      <c r="I97" s="63">
        <v>1</v>
      </c>
      <c r="J97" s="63">
        <v>2</v>
      </c>
      <c r="K97" s="71" t="str">
        <f t="shared" si="16"/>
        <v>001.002.002.002.001.002</v>
      </c>
      <c r="L97" s="71">
        <f t="shared" si="17"/>
        <v>1</v>
      </c>
      <c r="M97" s="71">
        <f t="shared" si="18"/>
        <v>5</v>
      </c>
      <c r="N97" s="71" t="b">
        <f t="shared" si="19"/>
        <v>1</v>
      </c>
      <c r="O97" s="71" t="b">
        <f t="shared" si="20"/>
        <v>1</v>
      </c>
      <c r="P97" s="71" t="b">
        <f t="shared" si="21"/>
        <v>1</v>
      </c>
      <c r="Q97" s="71" t="b">
        <f t="shared" si="22"/>
        <v>0</v>
      </c>
      <c r="R97" s="71" t="str">
        <f t="shared" si="23"/>
        <v>1.2.2.2.1.T2</v>
      </c>
      <c r="X97" s="60" t="s">
        <v>245</v>
      </c>
      <c r="AB97" s="63" t="s">
        <v>244</v>
      </c>
      <c r="AC97" s="63"/>
      <c r="AD97" s="63"/>
      <c r="AE97" s="63">
        <v>1</v>
      </c>
      <c r="AJ97" s="63"/>
      <c r="AK97" s="63"/>
      <c r="AN97" s="63"/>
      <c r="AO97" s="63"/>
    </row>
    <row r="98" spans="3:41" ht="18" customHeight="1">
      <c r="C98" s="63" t="s">
        <v>246</v>
      </c>
      <c r="D98" s="63" t="s">
        <v>246</v>
      </c>
      <c r="E98" s="63">
        <v>1</v>
      </c>
      <c r="F98" s="63">
        <v>2</v>
      </c>
      <c r="G98" s="63">
        <v>2</v>
      </c>
      <c r="H98" s="63">
        <v>2</v>
      </c>
      <c r="I98" s="63">
        <v>2</v>
      </c>
      <c r="J98" s="63"/>
      <c r="K98" s="71" t="str">
        <f t="shared" si="16"/>
        <v>001.002.002.002.002.---</v>
      </c>
      <c r="L98" s="71">
        <f t="shared" si="17"/>
        <v>1</v>
      </c>
      <c r="M98" s="71">
        <f t="shared" si="18"/>
        <v>5</v>
      </c>
      <c r="N98" s="71" t="b">
        <f t="shared" si="19"/>
        <v>0</v>
      </c>
      <c r="O98" s="71" t="b">
        <f t="shared" si="20"/>
        <v>1</v>
      </c>
      <c r="P98" s="71" t="b">
        <f t="shared" si="21"/>
        <v>1</v>
      </c>
      <c r="Q98" s="71" t="b">
        <f t="shared" si="22"/>
        <v>1</v>
      </c>
      <c r="R98" s="71" t="str">
        <f t="shared" si="23"/>
        <v>1.2.2.2.2</v>
      </c>
      <c r="AB98" s="63" t="s">
        <v>244</v>
      </c>
      <c r="AC98" s="63"/>
      <c r="AD98" s="63"/>
      <c r="AE98" s="63">
        <v>1</v>
      </c>
      <c r="AJ98" s="63"/>
      <c r="AK98" s="63"/>
      <c r="AN98" s="63"/>
      <c r="AO98" s="63"/>
    </row>
    <row r="99" spans="3:41" ht="18" customHeight="1">
      <c r="C99" s="63" t="s">
        <v>246</v>
      </c>
      <c r="D99" s="63" t="s">
        <v>246</v>
      </c>
      <c r="E99" s="63">
        <v>1</v>
      </c>
      <c r="F99" s="63">
        <v>2</v>
      </c>
      <c r="G99" s="63">
        <v>2</v>
      </c>
      <c r="H99" s="63">
        <v>2</v>
      </c>
      <c r="I99" s="63">
        <v>2</v>
      </c>
      <c r="J99" s="63">
        <v>1</v>
      </c>
      <c r="K99" s="71" t="str">
        <f t="shared" si="16"/>
        <v>001.002.002.002.002.001</v>
      </c>
      <c r="L99" s="71">
        <f t="shared" si="17"/>
        <v>1</v>
      </c>
      <c r="M99" s="71">
        <f t="shared" si="18"/>
        <v>5</v>
      </c>
      <c r="N99" s="71" t="b">
        <f t="shared" si="19"/>
        <v>1</v>
      </c>
      <c r="O99" s="71" t="b">
        <f t="shared" si="20"/>
        <v>1</v>
      </c>
      <c r="P99" s="71" t="b">
        <f t="shared" si="21"/>
        <v>1</v>
      </c>
      <c r="Q99" s="71" t="b">
        <f t="shared" si="22"/>
        <v>0</v>
      </c>
      <c r="R99" s="71" t="str">
        <f t="shared" si="23"/>
        <v>1.2.2.2.2.T1</v>
      </c>
      <c r="X99" s="60" t="s">
        <v>243</v>
      </c>
      <c r="AB99" s="63" t="s">
        <v>244</v>
      </c>
      <c r="AC99" s="63"/>
      <c r="AD99" s="63"/>
      <c r="AE99" s="63">
        <v>1</v>
      </c>
      <c r="AJ99" s="63"/>
      <c r="AK99" s="63"/>
      <c r="AN99" s="63"/>
      <c r="AO99" s="63"/>
    </row>
    <row r="100" spans="3:41" ht="18" customHeight="1">
      <c r="C100" s="63" t="s">
        <v>246</v>
      </c>
      <c r="D100" s="63" t="s">
        <v>246</v>
      </c>
      <c r="E100" s="63">
        <v>1</v>
      </c>
      <c r="F100" s="63">
        <v>2</v>
      </c>
      <c r="G100" s="63">
        <v>2</v>
      </c>
      <c r="H100" s="63">
        <v>2</v>
      </c>
      <c r="I100" s="63">
        <v>2</v>
      </c>
      <c r="J100" s="63">
        <v>2</v>
      </c>
      <c r="K100" s="71" t="str">
        <f t="shared" si="16"/>
        <v>001.002.002.002.002.002</v>
      </c>
      <c r="L100" s="71">
        <f t="shared" si="17"/>
        <v>1</v>
      </c>
      <c r="M100" s="71">
        <f t="shared" si="18"/>
        <v>5</v>
      </c>
      <c r="N100" s="71" t="b">
        <f t="shared" si="19"/>
        <v>1</v>
      </c>
      <c r="O100" s="71" t="b">
        <f t="shared" si="20"/>
        <v>1</v>
      </c>
      <c r="P100" s="71" t="b">
        <f t="shared" si="21"/>
        <v>1</v>
      </c>
      <c r="Q100" s="71" t="b">
        <f t="shared" si="22"/>
        <v>0</v>
      </c>
      <c r="R100" s="71" t="str">
        <f t="shared" si="23"/>
        <v>1.2.2.2.2.T2</v>
      </c>
      <c r="X100" s="60" t="s">
        <v>245</v>
      </c>
      <c r="AB100" s="63" t="s">
        <v>244</v>
      </c>
      <c r="AC100" s="63"/>
      <c r="AD100" s="63"/>
      <c r="AE100" s="63">
        <v>1</v>
      </c>
      <c r="AJ100" s="63"/>
      <c r="AK100" s="63"/>
      <c r="AN100" s="63"/>
      <c r="AO100" s="63"/>
    </row>
    <row r="101" spans="3:41" ht="18" customHeight="1">
      <c r="C101" s="63" t="s">
        <v>246</v>
      </c>
      <c r="D101" s="63" t="s">
        <v>246</v>
      </c>
      <c r="E101" s="63">
        <v>2</v>
      </c>
      <c r="F101" s="63"/>
      <c r="G101" s="63"/>
      <c r="H101" s="63"/>
      <c r="I101" s="63"/>
      <c r="J101" s="63"/>
      <c r="K101" s="71" t="str">
        <f t="shared" si="16"/>
        <v>002.---.---.---.---.---</v>
      </c>
      <c r="L101" s="71">
        <f t="shared" si="17"/>
        <v>1</v>
      </c>
      <c r="M101" s="71">
        <f t="shared" si="18"/>
        <v>1</v>
      </c>
      <c r="N101" s="71" t="b">
        <f t="shared" si="19"/>
        <v>0</v>
      </c>
      <c r="O101" s="71" t="b">
        <f t="shared" si="20"/>
        <v>1</v>
      </c>
      <c r="P101" s="71" t="b">
        <f t="shared" si="21"/>
        <v>1</v>
      </c>
      <c r="Q101" s="71" t="b">
        <f t="shared" si="22"/>
        <v>1</v>
      </c>
      <c r="R101" s="71" t="str">
        <f t="shared" si="23"/>
        <v>2</v>
      </c>
      <c r="AB101" s="63" t="s">
        <v>244</v>
      </c>
      <c r="AC101" s="63"/>
      <c r="AD101" s="63"/>
      <c r="AE101" s="63">
        <v>1</v>
      </c>
      <c r="AJ101" s="63"/>
      <c r="AK101" s="63"/>
      <c r="AN101" s="63"/>
      <c r="AO101" s="63"/>
    </row>
    <row r="102" spans="3:41" ht="18" customHeight="1">
      <c r="C102" s="63" t="s">
        <v>246</v>
      </c>
      <c r="D102" s="63" t="s">
        <v>246</v>
      </c>
      <c r="E102" s="63">
        <v>2</v>
      </c>
      <c r="F102" s="63"/>
      <c r="G102" s="63"/>
      <c r="H102" s="63"/>
      <c r="I102" s="63"/>
      <c r="J102" s="63">
        <v>1</v>
      </c>
      <c r="K102" s="71" t="str">
        <f t="shared" si="16"/>
        <v>002.---.---.---.---.001</v>
      </c>
      <c r="L102" s="71">
        <f t="shared" si="17"/>
        <v>1</v>
      </c>
      <c r="M102" s="71">
        <f t="shared" si="18"/>
        <v>1</v>
      </c>
      <c r="N102" s="71" t="b">
        <f t="shared" si="19"/>
        <v>1</v>
      </c>
      <c r="O102" s="71" t="b">
        <f t="shared" si="20"/>
        <v>1</v>
      </c>
      <c r="P102" s="71" t="b">
        <f t="shared" si="21"/>
        <v>1</v>
      </c>
      <c r="Q102" s="71" t="b">
        <f t="shared" si="22"/>
        <v>0</v>
      </c>
      <c r="R102" s="71" t="str">
        <f t="shared" si="23"/>
        <v>2.T1</v>
      </c>
      <c r="X102" s="60" t="s">
        <v>224</v>
      </c>
      <c r="AB102" s="63" t="s">
        <v>225</v>
      </c>
      <c r="AC102" s="63"/>
      <c r="AD102" s="63"/>
      <c r="AE102" s="63">
        <v>1</v>
      </c>
      <c r="AJ102" s="63"/>
      <c r="AK102" s="63"/>
      <c r="AN102" s="63"/>
      <c r="AO102" s="63"/>
    </row>
    <row r="103" spans="3:41" ht="18" customHeight="1">
      <c r="C103" s="63" t="s">
        <v>246</v>
      </c>
      <c r="D103" s="63" t="s">
        <v>246</v>
      </c>
      <c r="E103" s="63">
        <v>2</v>
      </c>
      <c r="F103" s="63"/>
      <c r="G103" s="63"/>
      <c r="H103" s="63"/>
      <c r="I103" s="63"/>
      <c r="J103" s="63">
        <v>2</v>
      </c>
      <c r="K103" s="71" t="str">
        <f t="shared" si="16"/>
        <v>002.---.---.---.---.002</v>
      </c>
      <c r="L103" s="71">
        <f t="shared" si="17"/>
        <v>1</v>
      </c>
      <c r="M103" s="71">
        <f t="shared" si="18"/>
        <v>1</v>
      </c>
      <c r="N103" s="71" t="b">
        <f t="shared" si="19"/>
        <v>1</v>
      </c>
      <c r="O103" s="71" t="b">
        <f t="shared" si="20"/>
        <v>0</v>
      </c>
      <c r="P103" s="71" t="b">
        <f t="shared" si="21"/>
        <v>1</v>
      </c>
      <c r="Q103" s="71" t="b">
        <f t="shared" si="22"/>
        <v>0</v>
      </c>
      <c r="R103" s="71" t="str">
        <f t="shared" si="23"/>
        <v>2.T2</v>
      </c>
      <c r="X103" s="60" t="s">
        <v>226</v>
      </c>
      <c r="AB103" s="63" t="s">
        <v>227</v>
      </c>
      <c r="AC103" s="63"/>
      <c r="AD103" s="63"/>
      <c r="AE103" s="63">
        <v>1</v>
      </c>
      <c r="AJ103" s="63"/>
      <c r="AK103" s="63"/>
      <c r="AN103" s="63"/>
      <c r="AO103" s="63"/>
    </row>
    <row r="104" spans="3:41" ht="18" customHeight="1">
      <c r="C104" s="63" t="s">
        <v>246</v>
      </c>
      <c r="D104" s="63" t="s">
        <v>246</v>
      </c>
      <c r="E104" s="63">
        <v>2</v>
      </c>
      <c r="F104" s="63">
        <v>1</v>
      </c>
      <c r="G104" s="63"/>
      <c r="H104" s="63"/>
      <c r="I104" s="63"/>
      <c r="J104" s="63"/>
      <c r="K104" s="71" t="str">
        <f t="shared" ref="K104:K135" si="24">IF(B104="E","ERROR",IF(E104="","XXX.XXX.XXX.XXX.XXX.XXX", _xlfn.CONCAT(TEXT(E104,"000"),IF(F104="",".---", "." &amp; TEXT(F104,"000")),IF(G104="",".---", "." &amp; TEXT(G104,"000")),IF(H104="",".---", "." &amp; TEXT(H104,"000")),IF(I104="",".---", "." &amp; TEXT(I104,"000")),IF(J104="",".---", "." &amp; TEXT(J104,"000")))))</f>
        <v>002.001.---.---.---.---</v>
      </c>
      <c r="L104" s="71">
        <f t="shared" ref="L104:L135" si="25">COUNTIF(K$8:K$158,K104)</f>
        <v>1</v>
      </c>
      <c r="M104" s="71">
        <f t="shared" ref="M104:M135" si="26">IF(AND(ISNUMBER(E104),F104="",G104="",H104="",I104=""),1,IF(AND(ISNUMBER(E104),ISNUMBER(F104),G104="",H104="",I104=""),2,IF(AND(ISNUMBER(E104),ISNUMBER(F104),ISNUMBER(G104),H104="",I104=""),3,IF(AND(ISNUMBER(E104),ISNUMBER(F104),ISNUMBER(G104),ISNUMBER(H104),I104=""),4,IF(AND(ISNUMBER(E104),ISNUMBER(F104),ISNUMBER(G104),ISNUMBER(H104),ISNUMBER(I104)),5,0)))))</f>
        <v>2</v>
      </c>
      <c r="N104" s="71" t="b">
        <f t="shared" ref="N104:N135" si="27">IF(AND(J104&lt;&gt;"",ISNUMBER(J104)),TRUE,FALSE)</f>
        <v>0</v>
      </c>
      <c r="O104" s="71" t="b">
        <f t="shared" ref="O104:O135" si="28">NOT(OR(AB104="移管済",AB104="棚上げ",AB104="却下"))</f>
        <v>1</v>
      </c>
      <c r="P104" s="71" t="b">
        <f t="shared" ref="P104:P135" si="29">AND(M104&gt;0,R104&lt;&gt;"",IFERROR(ISNUMBER(MATCH(IFERROR(LEFT(R104,FIND("~",SUBSTITUTE(R104,".","~",LEN(R104)-LEN(SUBSTITUTE(R104,".",""))))-1),R104),R$8:R$158,0)),FALSE))</f>
        <v>1</v>
      </c>
      <c r="Q104" s="71" t="b">
        <f t="shared" ref="Q104:Q135" si="30">AND(M104&gt;0,N104=FALSE,R104&lt;&gt;"",IFERROR(SUMPRODUCT(--(LEFT(R$8:R$158,LEN(R104&amp;"."))=R104&amp;"."))&gt;0,FALSE))</f>
        <v>1</v>
      </c>
      <c r="R104" s="71" t="str">
        <f t="shared" ref="R104:R135" si="31">IF(B104="E","ERROR",IF(E104="","",_xlfn.CONCAT(E104,IF(F104="","","."&amp;F104 ), IF(G104="","","."&amp;G104 ), IF(H104="","","."&amp;H104 ), IF(I104="","","."&amp;I104 ), IF(J104="","",".T"&amp;J104 ))))</f>
        <v>2.1</v>
      </c>
      <c r="T104" s="60" t="s">
        <v>228</v>
      </c>
      <c r="AB104" s="63" t="s">
        <v>244</v>
      </c>
      <c r="AC104" s="63"/>
      <c r="AD104" s="63"/>
      <c r="AE104" s="63">
        <v>1</v>
      </c>
      <c r="AJ104" s="63"/>
      <c r="AK104" s="63"/>
      <c r="AN104" s="63"/>
      <c r="AO104" s="63"/>
    </row>
    <row r="105" spans="3:41" ht="18" customHeight="1">
      <c r="C105" s="63" t="s">
        <v>246</v>
      </c>
      <c r="D105" s="63" t="s">
        <v>246</v>
      </c>
      <c r="E105" s="63">
        <v>2</v>
      </c>
      <c r="F105" s="63">
        <v>1</v>
      </c>
      <c r="G105" s="63"/>
      <c r="H105" s="63"/>
      <c r="I105" s="63"/>
      <c r="J105" s="63">
        <v>1</v>
      </c>
      <c r="K105" s="71" t="str">
        <f t="shared" si="24"/>
        <v>002.001.---.---.---.001</v>
      </c>
      <c r="L105" s="71">
        <f t="shared" si="25"/>
        <v>1</v>
      </c>
      <c r="M105" s="71">
        <f t="shared" si="26"/>
        <v>2</v>
      </c>
      <c r="N105" s="71" t="b">
        <f t="shared" si="27"/>
        <v>1</v>
      </c>
      <c r="O105" s="71" t="b">
        <f t="shared" si="28"/>
        <v>1</v>
      </c>
      <c r="P105" s="71" t="b">
        <f t="shared" si="29"/>
        <v>1</v>
      </c>
      <c r="Q105" s="71" t="b">
        <f t="shared" si="30"/>
        <v>0</v>
      </c>
      <c r="R105" s="71" t="str">
        <f t="shared" si="31"/>
        <v>2.1.T1</v>
      </c>
      <c r="X105" s="60" t="s">
        <v>229</v>
      </c>
      <c r="AB105" s="63" t="s">
        <v>230</v>
      </c>
      <c r="AC105" s="63"/>
      <c r="AD105" s="63"/>
      <c r="AE105" s="63">
        <v>1</v>
      </c>
      <c r="AJ105" s="63"/>
      <c r="AK105" s="63"/>
      <c r="AN105" s="63"/>
      <c r="AO105" s="63"/>
    </row>
    <row r="106" spans="3:41" ht="18" customHeight="1">
      <c r="C106" s="63" t="s">
        <v>246</v>
      </c>
      <c r="D106" s="63" t="s">
        <v>246</v>
      </c>
      <c r="E106" s="63">
        <v>2</v>
      </c>
      <c r="F106" s="63">
        <v>1</v>
      </c>
      <c r="G106" s="63"/>
      <c r="H106" s="63"/>
      <c r="I106" s="63"/>
      <c r="J106" s="63">
        <v>2</v>
      </c>
      <c r="K106" s="71" t="str">
        <f t="shared" si="24"/>
        <v>002.001.---.---.---.002</v>
      </c>
      <c r="L106" s="71">
        <f t="shared" si="25"/>
        <v>1</v>
      </c>
      <c r="M106" s="71">
        <f t="shared" si="26"/>
        <v>2</v>
      </c>
      <c r="N106" s="71" t="b">
        <f t="shared" si="27"/>
        <v>1</v>
      </c>
      <c r="O106" s="71" t="b">
        <f t="shared" si="28"/>
        <v>0</v>
      </c>
      <c r="P106" s="71" t="b">
        <f t="shared" si="29"/>
        <v>1</v>
      </c>
      <c r="Q106" s="71" t="b">
        <f t="shared" si="30"/>
        <v>0</v>
      </c>
      <c r="R106" s="71" t="str">
        <f t="shared" si="31"/>
        <v>2.1.T2</v>
      </c>
      <c r="X106" s="60" t="s">
        <v>231</v>
      </c>
      <c r="AB106" s="63" t="s">
        <v>232</v>
      </c>
      <c r="AC106" s="63"/>
      <c r="AD106" s="63"/>
      <c r="AE106" s="63">
        <v>1</v>
      </c>
      <c r="AJ106" s="63"/>
      <c r="AK106" s="63"/>
      <c r="AN106" s="63"/>
      <c r="AO106" s="63"/>
    </row>
    <row r="107" spans="3:41" ht="18" customHeight="1">
      <c r="C107" s="63" t="s">
        <v>246</v>
      </c>
      <c r="D107" s="63" t="s">
        <v>246</v>
      </c>
      <c r="E107" s="63">
        <v>2</v>
      </c>
      <c r="F107" s="63">
        <v>1</v>
      </c>
      <c r="G107" s="63">
        <v>1</v>
      </c>
      <c r="H107" s="63"/>
      <c r="I107" s="63"/>
      <c r="J107" s="63"/>
      <c r="K107" s="71" t="str">
        <f t="shared" si="24"/>
        <v>002.001.001.---.---.---</v>
      </c>
      <c r="L107" s="71">
        <f t="shared" si="25"/>
        <v>1</v>
      </c>
      <c r="M107" s="71">
        <f t="shared" si="26"/>
        <v>3</v>
      </c>
      <c r="N107" s="71" t="b">
        <f t="shared" si="27"/>
        <v>0</v>
      </c>
      <c r="O107" s="71" t="b">
        <f t="shared" si="28"/>
        <v>1</v>
      </c>
      <c r="P107" s="71" t="b">
        <f t="shared" si="29"/>
        <v>1</v>
      </c>
      <c r="Q107" s="71" t="b">
        <f t="shared" si="30"/>
        <v>1</v>
      </c>
      <c r="R107" s="71" t="str">
        <f t="shared" si="31"/>
        <v>2.1.1</v>
      </c>
      <c r="U107" s="60" t="s">
        <v>233</v>
      </c>
      <c r="AB107" s="63" t="s">
        <v>244</v>
      </c>
      <c r="AC107" s="63"/>
      <c r="AD107" s="63"/>
      <c r="AE107" s="63">
        <v>1</v>
      </c>
      <c r="AJ107" s="63"/>
      <c r="AK107" s="63"/>
      <c r="AN107" s="63"/>
      <c r="AO107" s="63"/>
    </row>
    <row r="108" spans="3:41" ht="18" customHeight="1">
      <c r="C108" s="63" t="s">
        <v>246</v>
      </c>
      <c r="D108" s="63" t="s">
        <v>246</v>
      </c>
      <c r="E108" s="63">
        <v>2</v>
      </c>
      <c r="F108" s="63">
        <v>1</v>
      </c>
      <c r="G108" s="63">
        <v>1</v>
      </c>
      <c r="H108" s="63"/>
      <c r="I108" s="63"/>
      <c r="J108" s="63">
        <v>1</v>
      </c>
      <c r="K108" s="71" t="str">
        <f t="shared" si="24"/>
        <v>002.001.001.---.---.001</v>
      </c>
      <c r="L108" s="71">
        <f t="shared" si="25"/>
        <v>1</v>
      </c>
      <c r="M108" s="71">
        <f t="shared" si="26"/>
        <v>3</v>
      </c>
      <c r="N108" s="71" t="b">
        <f t="shared" si="27"/>
        <v>1</v>
      </c>
      <c r="O108" s="71" t="b">
        <f t="shared" si="28"/>
        <v>0</v>
      </c>
      <c r="P108" s="71" t="b">
        <f t="shared" si="29"/>
        <v>1</v>
      </c>
      <c r="Q108" s="71" t="b">
        <f t="shared" si="30"/>
        <v>0</v>
      </c>
      <c r="R108" s="71" t="str">
        <f t="shared" si="31"/>
        <v>2.1.1.T1</v>
      </c>
      <c r="X108" s="60" t="s">
        <v>234</v>
      </c>
      <c r="AB108" s="63" t="s">
        <v>235</v>
      </c>
      <c r="AC108" s="63"/>
      <c r="AD108" s="63"/>
      <c r="AE108" s="63">
        <v>1</v>
      </c>
      <c r="AJ108" s="63"/>
      <c r="AK108" s="63"/>
      <c r="AN108" s="63"/>
      <c r="AO108" s="63"/>
    </row>
    <row r="109" spans="3:41" ht="18" customHeight="1">
      <c r="C109" s="63" t="s">
        <v>246</v>
      </c>
      <c r="D109" s="63" t="s">
        <v>246</v>
      </c>
      <c r="E109" s="63">
        <v>2</v>
      </c>
      <c r="F109" s="63">
        <v>1</v>
      </c>
      <c r="G109" s="63">
        <v>1</v>
      </c>
      <c r="H109" s="63"/>
      <c r="I109" s="63"/>
      <c r="J109" s="63">
        <v>2</v>
      </c>
      <c r="K109" s="71" t="str">
        <f t="shared" si="24"/>
        <v>002.001.001.---.---.002</v>
      </c>
      <c r="L109" s="71">
        <f t="shared" si="25"/>
        <v>1</v>
      </c>
      <c r="M109" s="71">
        <f t="shared" si="26"/>
        <v>3</v>
      </c>
      <c r="N109" s="71" t="b">
        <f t="shared" si="27"/>
        <v>1</v>
      </c>
      <c r="O109" s="71" t="b">
        <f t="shared" si="28"/>
        <v>1</v>
      </c>
      <c r="P109" s="71" t="b">
        <f t="shared" si="29"/>
        <v>1</v>
      </c>
      <c r="Q109" s="71" t="b">
        <f t="shared" si="30"/>
        <v>0</v>
      </c>
      <c r="R109" s="71" t="str">
        <f t="shared" si="31"/>
        <v>2.1.1.T2</v>
      </c>
      <c r="X109" s="60" t="s">
        <v>236</v>
      </c>
      <c r="AB109" s="63" t="s">
        <v>237</v>
      </c>
      <c r="AC109" s="63"/>
      <c r="AD109" s="63"/>
      <c r="AE109" s="63">
        <v>1</v>
      </c>
      <c r="AJ109" s="63"/>
      <c r="AK109" s="63"/>
      <c r="AN109" s="63"/>
      <c r="AO109" s="63"/>
    </row>
    <row r="110" spans="3:41" ht="18" customHeight="1">
      <c r="C110" s="63" t="s">
        <v>246</v>
      </c>
      <c r="D110" s="63" t="s">
        <v>246</v>
      </c>
      <c r="E110" s="63">
        <v>2</v>
      </c>
      <c r="F110" s="63">
        <v>1</v>
      </c>
      <c r="G110" s="63">
        <v>1</v>
      </c>
      <c r="H110" s="63">
        <v>1</v>
      </c>
      <c r="I110" s="63"/>
      <c r="J110" s="63"/>
      <c r="K110" s="71" t="str">
        <f t="shared" si="24"/>
        <v>002.001.001.001.---.---</v>
      </c>
      <c r="L110" s="71">
        <f t="shared" si="25"/>
        <v>1</v>
      </c>
      <c r="M110" s="71">
        <f t="shared" si="26"/>
        <v>4</v>
      </c>
      <c r="N110" s="71" t="b">
        <f t="shared" si="27"/>
        <v>0</v>
      </c>
      <c r="O110" s="71" t="b">
        <f t="shared" si="28"/>
        <v>1</v>
      </c>
      <c r="P110" s="71" t="b">
        <f t="shared" si="29"/>
        <v>1</v>
      </c>
      <c r="Q110" s="71" t="b">
        <f t="shared" si="30"/>
        <v>1</v>
      </c>
      <c r="R110" s="71" t="str">
        <f t="shared" si="31"/>
        <v>2.1.1.1</v>
      </c>
      <c r="AB110" s="63" t="s">
        <v>244</v>
      </c>
      <c r="AC110" s="63"/>
      <c r="AD110" s="63"/>
      <c r="AE110" s="63">
        <v>1</v>
      </c>
      <c r="AJ110" s="63"/>
      <c r="AK110" s="63"/>
      <c r="AN110" s="63"/>
      <c r="AO110" s="63"/>
    </row>
    <row r="111" spans="3:41" ht="18" customHeight="1">
      <c r="C111" s="63" t="s">
        <v>246</v>
      </c>
      <c r="D111" s="63" t="s">
        <v>246</v>
      </c>
      <c r="E111" s="63">
        <v>2</v>
      </c>
      <c r="F111" s="63">
        <v>1</v>
      </c>
      <c r="G111" s="63">
        <v>1</v>
      </c>
      <c r="H111" s="63">
        <v>1</v>
      </c>
      <c r="I111" s="63"/>
      <c r="J111" s="63">
        <v>1</v>
      </c>
      <c r="K111" s="71" t="str">
        <f t="shared" si="24"/>
        <v>002.001.001.001.---.001</v>
      </c>
      <c r="L111" s="71">
        <f t="shared" si="25"/>
        <v>1</v>
      </c>
      <c r="M111" s="71">
        <f t="shared" si="26"/>
        <v>4</v>
      </c>
      <c r="N111" s="71" t="b">
        <f t="shared" si="27"/>
        <v>1</v>
      </c>
      <c r="O111" s="71" t="b">
        <f t="shared" si="28"/>
        <v>1</v>
      </c>
      <c r="P111" s="71" t="b">
        <f t="shared" si="29"/>
        <v>1</v>
      </c>
      <c r="Q111" s="71" t="b">
        <f t="shared" si="30"/>
        <v>0</v>
      </c>
      <c r="R111" s="71" t="str">
        <f t="shared" si="31"/>
        <v>2.1.1.1.T1</v>
      </c>
      <c r="V111" s="60" t="s">
        <v>238</v>
      </c>
      <c r="X111" s="60" t="s">
        <v>239</v>
      </c>
      <c r="AB111" s="63" t="s">
        <v>203</v>
      </c>
      <c r="AC111" s="63"/>
      <c r="AD111" s="63"/>
      <c r="AE111" s="63">
        <v>1</v>
      </c>
      <c r="AJ111" s="63"/>
      <c r="AK111" s="63"/>
      <c r="AN111" s="63"/>
      <c r="AO111" s="63"/>
    </row>
    <row r="112" spans="3:41" ht="18" customHeight="1">
      <c r="C112" s="63" t="s">
        <v>246</v>
      </c>
      <c r="D112" s="63" t="s">
        <v>246</v>
      </c>
      <c r="E112" s="63">
        <v>2</v>
      </c>
      <c r="F112" s="63">
        <v>1</v>
      </c>
      <c r="G112" s="63">
        <v>1</v>
      </c>
      <c r="H112" s="63">
        <v>1</v>
      </c>
      <c r="I112" s="63"/>
      <c r="J112" s="63">
        <v>2</v>
      </c>
      <c r="K112" s="71" t="str">
        <f t="shared" si="24"/>
        <v>002.001.001.001.---.002</v>
      </c>
      <c r="L112" s="71">
        <f t="shared" si="25"/>
        <v>1</v>
      </c>
      <c r="M112" s="71">
        <f t="shared" si="26"/>
        <v>4</v>
      </c>
      <c r="N112" s="71" t="b">
        <f t="shared" si="27"/>
        <v>1</v>
      </c>
      <c r="O112" s="71" t="b">
        <f t="shared" si="28"/>
        <v>1</v>
      </c>
      <c r="P112" s="71" t="b">
        <f t="shared" si="29"/>
        <v>1</v>
      </c>
      <c r="Q112" s="71" t="b">
        <f t="shared" si="30"/>
        <v>0</v>
      </c>
      <c r="R112" s="71" t="str">
        <f t="shared" si="31"/>
        <v>2.1.1.1.T2</v>
      </c>
      <c r="X112" s="60" t="s">
        <v>240</v>
      </c>
      <c r="AB112" s="63" t="s">
        <v>241</v>
      </c>
      <c r="AC112" s="63"/>
      <c r="AD112" s="63"/>
      <c r="AE112" s="63">
        <v>1</v>
      </c>
      <c r="AJ112" s="63"/>
      <c r="AK112" s="63"/>
      <c r="AN112" s="63"/>
      <c r="AO112" s="63"/>
    </row>
    <row r="113" spans="3:41" ht="18" customHeight="1">
      <c r="C113" s="63" t="s">
        <v>246</v>
      </c>
      <c r="D113" s="63" t="s">
        <v>246</v>
      </c>
      <c r="E113" s="63">
        <v>2</v>
      </c>
      <c r="F113" s="63">
        <v>1</v>
      </c>
      <c r="G113" s="63">
        <v>1</v>
      </c>
      <c r="H113" s="63">
        <v>1</v>
      </c>
      <c r="I113" s="63">
        <v>1</v>
      </c>
      <c r="J113" s="63"/>
      <c r="K113" s="71" t="str">
        <f t="shared" si="24"/>
        <v>002.001.001.001.001.---</v>
      </c>
      <c r="L113" s="71">
        <f t="shared" si="25"/>
        <v>1</v>
      </c>
      <c r="M113" s="71">
        <f t="shared" si="26"/>
        <v>5</v>
      </c>
      <c r="N113" s="71" t="b">
        <f t="shared" si="27"/>
        <v>0</v>
      </c>
      <c r="O113" s="71" t="b">
        <f t="shared" si="28"/>
        <v>1</v>
      </c>
      <c r="P113" s="71" t="b">
        <f t="shared" si="29"/>
        <v>1</v>
      </c>
      <c r="Q113" s="71" t="b">
        <f t="shared" si="30"/>
        <v>1</v>
      </c>
      <c r="R113" s="71" t="str">
        <f t="shared" si="31"/>
        <v>2.1.1.1.1</v>
      </c>
      <c r="W113" s="60" t="s">
        <v>242</v>
      </c>
      <c r="AB113" s="63" t="s">
        <v>244</v>
      </c>
      <c r="AC113" s="63"/>
      <c r="AD113" s="63"/>
      <c r="AE113" s="63">
        <v>1</v>
      </c>
      <c r="AJ113" s="63"/>
      <c r="AK113" s="63"/>
      <c r="AN113" s="63"/>
      <c r="AO113" s="63"/>
    </row>
    <row r="114" spans="3:41" ht="18" customHeight="1">
      <c r="C114" s="63" t="s">
        <v>246</v>
      </c>
      <c r="D114" s="63" t="s">
        <v>246</v>
      </c>
      <c r="E114" s="63">
        <v>2</v>
      </c>
      <c r="F114" s="63">
        <v>1</v>
      </c>
      <c r="G114" s="63">
        <v>1</v>
      </c>
      <c r="H114" s="63">
        <v>1</v>
      </c>
      <c r="I114" s="63">
        <v>1</v>
      </c>
      <c r="J114" s="63">
        <v>1</v>
      </c>
      <c r="K114" s="71" t="str">
        <f t="shared" si="24"/>
        <v>002.001.001.001.001.001</v>
      </c>
      <c r="L114" s="71">
        <f t="shared" si="25"/>
        <v>1</v>
      </c>
      <c r="M114" s="71">
        <f t="shared" si="26"/>
        <v>5</v>
      </c>
      <c r="N114" s="71" t="b">
        <f t="shared" si="27"/>
        <v>1</v>
      </c>
      <c r="O114" s="71" t="b">
        <f t="shared" si="28"/>
        <v>1</v>
      </c>
      <c r="P114" s="71" t="b">
        <f t="shared" si="29"/>
        <v>1</v>
      </c>
      <c r="Q114" s="71" t="b">
        <f t="shared" si="30"/>
        <v>0</v>
      </c>
      <c r="R114" s="71" t="str">
        <f t="shared" si="31"/>
        <v>2.1.1.1.1.T1</v>
      </c>
      <c r="X114" s="60" t="s">
        <v>243</v>
      </c>
      <c r="AB114" s="63" t="s">
        <v>244</v>
      </c>
      <c r="AC114" s="63"/>
      <c r="AD114" s="63"/>
      <c r="AE114" s="63">
        <v>1</v>
      </c>
      <c r="AJ114" s="63"/>
      <c r="AK114" s="63"/>
      <c r="AN114" s="63"/>
      <c r="AO114" s="63"/>
    </row>
    <row r="115" spans="3:41" ht="18" customHeight="1">
      <c r="C115" s="63" t="s">
        <v>246</v>
      </c>
      <c r="D115" s="63" t="s">
        <v>246</v>
      </c>
      <c r="E115" s="63">
        <v>2</v>
      </c>
      <c r="F115" s="63">
        <v>1</v>
      </c>
      <c r="G115" s="63">
        <v>1</v>
      </c>
      <c r="H115" s="63">
        <v>1</v>
      </c>
      <c r="I115" s="63">
        <v>1</v>
      </c>
      <c r="J115" s="63">
        <v>2</v>
      </c>
      <c r="K115" s="71" t="str">
        <f t="shared" si="24"/>
        <v>002.001.001.001.001.002</v>
      </c>
      <c r="L115" s="71">
        <f t="shared" si="25"/>
        <v>1</v>
      </c>
      <c r="M115" s="71">
        <f t="shared" si="26"/>
        <v>5</v>
      </c>
      <c r="N115" s="71" t="b">
        <f t="shared" si="27"/>
        <v>1</v>
      </c>
      <c r="O115" s="71" t="b">
        <f t="shared" si="28"/>
        <v>1</v>
      </c>
      <c r="P115" s="71" t="b">
        <f t="shared" si="29"/>
        <v>1</v>
      </c>
      <c r="Q115" s="71" t="b">
        <f t="shared" si="30"/>
        <v>0</v>
      </c>
      <c r="R115" s="71" t="str">
        <f t="shared" si="31"/>
        <v>2.1.1.1.1.T2</v>
      </c>
      <c r="X115" s="60" t="s">
        <v>245</v>
      </c>
      <c r="AB115" s="63" t="s">
        <v>244</v>
      </c>
      <c r="AC115" s="63"/>
      <c r="AD115" s="63"/>
      <c r="AE115" s="63">
        <v>1</v>
      </c>
      <c r="AJ115" s="63"/>
      <c r="AK115" s="63"/>
      <c r="AN115" s="63"/>
      <c r="AO115" s="63"/>
    </row>
    <row r="116" spans="3:41" ht="18" customHeight="1">
      <c r="C116" s="63" t="s">
        <v>246</v>
      </c>
      <c r="D116" s="63" t="s">
        <v>246</v>
      </c>
      <c r="E116" s="63">
        <v>2</v>
      </c>
      <c r="F116" s="63">
        <v>1</v>
      </c>
      <c r="G116" s="63">
        <v>1</v>
      </c>
      <c r="H116" s="63">
        <v>1</v>
      </c>
      <c r="I116" s="63">
        <v>2</v>
      </c>
      <c r="J116" s="63"/>
      <c r="K116" s="71" t="str">
        <f t="shared" si="24"/>
        <v>002.001.001.001.002.---</v>
      </c>
      <c r="L116" s="71">
        <f t="shared" si="25"/>
        <v>1</v>
      </c>
      <c r="M116" s="71">
        <f t="shared" si="26"/>
        <v>5</v>
      </c>
      <c r="N116" s="71" t="b">
        <f t="shared" si="27"/>
        <v>0</v>
      </c>
      <c r="O116" s="71" t="b">
        <f t="shared" si="28"/>
        <v>1</v>
      </c>
      <c r="P116" s="71" t="b">
        <f t="shared" si="29"/>
        <v>1</v>
      </c>
      <c r="Q116" s="71" t="b">
        <f t="shared" si="30"/>
        <v>1</v>
      </c>
      <c r="R116" s="71" t="str">
        <f t="shared" si="31"/>
        <v>2.1.1.1.2</v>
      </c>
      <c r="AB116" s="63" t="s">
        <v>244</v>
      </c>
      <c r="AC116" s="63"/>
      <c r="AD116" s="63"/>
      <c r="AE116" s="63">
        <v>1</v>
      </c>
      <c r="AJ116" s="63"/>
      <c r="AK116" s="63"/>
      <c r="AN116" s="63"/>
      <c r="AO116" s="63"/>
    </row>
    <row r="117" spans="3:41" ht="18" customHeight="1">
      <c r="C117" s="63" t="s">
        <v>246</v>
      </c>
      <c r="D117" s="63" t="s">
        <v>246</v>
      </c>
      <c r="E117" s="63">
        <v>2</v>
      </c>
      <c r="F117" s="63">
        <v>1</v>
      </c>
      <c r="G117" s="63">
        <v>1</v>
      </c>
      <c r="H117" s="63">
        <v>1</v>
      </c>
      <c r="I117" s="63">
        <v>2</v>
      </c>
      <c r="J117" s="63">
        <v>1</v>
      </c>
      <c r="K117" s="71" t="str">
        <f t="shared" si="24"/>
        <v>002.001.001.001.002.001</v>
      </c>
      <c r="L117" s="71">
        <f t="shared" si="25"/>
        <v>1</v>
      </c>
      <c r="M117" s="71">
        <f t="shared" si="26"/>
        <v>5</v>
      </c>
      <c r="N117" s="71" t="b">
        <f t="shared" si="27"/>
        <v>1</v>
      </c>
      <c r="O117" s="71" t="b">
        <f t="shared" si="28"/>
        <v>1</v>
      </c>
      <c r="P117" s="71" t="b">
        <f t="shared" si="29"/>
        <v>1</v>
      </c>
      <c r="Q117" s="71" t="b">
        <f t="shared" si="30"/>
        <v>0</v>
      </c>
      <c r="R117" s="71" t="str">
        <f t="shared" si="31"/>
        <v>2.1.1.1.2.T1</v>
      </c>
      <c r="X117" s="60" t="s">
        <v>243</v>
      </c>
      <c r="AB117" s="63" t="s">
        <v>244</v>
      </c>
      <c r="AC117" s="63"/>
      <c r="AD117" s="63"/>
      <c r="AE117" s="63">
        <v>1</v>
      </c>
      <c r="AJ117" s="63"/>
      <c r="AK117" s="63"/>
      <c r="AN117" s="63"/>
      <c r="AO117" s="63"/>
    </row>
    <row r="118" spans="3:41" ht="18" customHeight="1">
      <c r="C118" s="63" t="s">
        <v>246</v>
      </c>
      <c r="D118" s="63" t="s">
        <v>246</v>
      </c>
      <c r="E118" s="63">
        <v>2</v>
      </c>
      <c r="F118" s="63">
        <v>1</v>
      </c>
      <c r="G118" s="63">
        <v>1</v>
      </c>
      <c r="H118" s="63">
        <v>1</v>
      </c>
      <c r="I118" s="63">
        <v>2</v>
      </c>
      <c r="J118" s="63">
        <v>2</v>
      </c>
      <c r="K118" s="71" t="str">
        <f t="shared" si="24"/>
        <v>002.001.001.001.002.002</v>
      </c>
      <c r="L118" s="71">
        <f t="shared" si="25"/>
        <v>1</v>
      </c>
      <c r="M118" s="71">
        <f t="shared" si="26"/>
        <v>5</v>
      </c>
      <c r="N118" s="71" t="b">
        <f t="shared" si="27"/>
        <v>1</v>
      </c>
      <c r="O118" s="71" t="b">
        <f t="shared" si="28"/>
        <v>1</v>
      </c>
      <c r="P118" s="71" t="b">
        <f t="shared" si="29"/>
        <v>1</v>
      </c>
      <c r="Q118" s="71" t="b">
        <f t="shared" si="30"/>
        <v>0</v>
      </c>
      <c r="R118" s="71" t="str">
        <f t="shared" si="31"/>
        <v>2.1.1.1.2.T2</v>
      </c>
      <c r="X118" s="60" t="s">
        <v>245</v>
      </c>
      <c r="AB118" s="63" t="s">
        <v>244</v>
      </c>
      <c r="AC118" s="63"/>
      <c r="AD118" s="63"/>
      <c r="AE118" s="63">
        <v>1</v>
      </c>
      <c r="AJ118" s="63"/>
      <c r="AK118" s="63"/>
      <c r="AN118" s="63"/>
      <c r="AO118" s="63"/>
    </row>
    <row r="119" spans="3:41" ht="18" customHeight="1">
      <c r="C119" s="63" t="s">
        <v>246</v>
      </c>
      <c r="D119" s="63" t="s">
        <v>246</v>
      </c>
      <c r="E119" s="63">
        <v>2</v>
      </c>
      <c r="F119" s="63">
        <v>1</v>
      </c>
      <c r="G119" s="63">
        <v>1</v>
      </c>
      <c r="H119" s="63">
        <v>2</v>
      </c>
      <c r="I119" s="63"/>
      <c r="J119" s="63"/>
      <c r="K119" s="71" t="str">
        <f t="shared" si="24"/>
        <v>002.001.001.002.---.---</v>
      </c>
      <c r="L119" s="71">
        <f t="shared" si="25"/>
        <v>1</v>
      </c>
      <c r="M119" s="71">
        <f t="shared" si="26"/>
        <v>4</v>
      </c>
      <c r="N119" s="71" t="b">
        <f t="shared" si="27"/>
        <v>0</v>
      </c>
      <c r="O119" s="71" t="b">
        <f t="shared" si="28"/>
        <v>1</v>
      </c>
      <c r="P119" s="71" t="b">
        <f t="shared" si="29"/>
        <v>1</v>
      </c>
      <c r="Q119" s="71" t="b">
        <f t="shared" si="30"/>
        <v>1</v>
      </c>
      <c r="R119" s="71" t="str">
        <f t="shared" si="31"/>
        <v>2.1.1.2</v>
      </c>
      <c r="AB119" s="63" t="s">
        <v>244</v>
      </c>
      <c r="AC119" s="63"/>
      <c r="AD119" s="63"/>
      <c r="AE119" s="63">
        <v>1</v>
      </c>
      <c r="AJ119" s="63"/>
      <c r="AK119" s="63"/>
      <c r="AN119" s="63"/>
      <c r="AO119" s="63"/>
    </row>
    <row r="120" spans="3:41" ht="18" customHeight="1">
      <c r="C120" s="63" t="s">
        <v>246</v>
      </c>
      <c r="D120" s="63" t="s">
        <v>246</v>
      </c>
      <c r="E120" s="63">
        <v>2</v>
      </c>
      <c r="F120" s="63">
        <v>1</v>
      </c>
      <c r="G120" s="63">
        <v>1</v>
      </c>
      <c r="H120" s="63">
        <v>2</v>
      </c>
      <c r="I120" s="63"/>
      <c r="J120" s="63">
        <v>1</v>
      </c>
      <c r="K120" s="71" t="str">
        <f t="shared" si="24"/>
        <v>002.001.001.002.---.001</v>
      </c>
      <c r="L120" s="71">
        <f t="shared" si="25"/>
        <v>1</v>
      </c>
      <c r="M120" s="71">
        <f t="shared" si="26"/>
        <v>4</v>
      </c>
      <c r="N120" s="71" t="b">
        <f t="shared" si="27"/>
        <v>1</v>
      </c>
      <c r="O120" s="71" t="b">
        <f t="shared" si="28"/>
        <v>1</v>
      </c>
      <c r="P120" s="71" t="b">
        <f t="shared" si="29"/>
        <v>1</v>
      </c>
      <c r="Q120" s="71" t="b">
        <f t="shared" si="30"/>
        <v>0</v>
      </c>
      <c r="R120" s="71" t="str">
        <f t="shared" si="31"/>
        <v>2.1.1.2.T1</v>
      </c>
      <c r="X120" s="60" t="s">
        <v>239</v>
      </c>
      <c r="AB120" s="63" t="s">
        <v>203</v>
      </c>
      <c r="AC120" s="63"/>
      <c r="AD120" s="63"/>
      <c r="AE120" s="63">
        <v>1</v>
      </c>
      <c r="AJ120" s="63"/>
      <c r="AK120" s="63"/>
      <c r="AN120" s="63"/>
      <c r="AO120" s="63"/>
    </row>
    <row r="121" spans="3:41" ht="18" customHeight="1">
      <c r="C121" s="63" t="s">
        <v>246</v>
      </c>
      <c r="D121" s="63" t="s">
        <v>246</v>
      </c>
      <c r="E121" s="63">
        <v>2</v>
      </c>
      <c r="F121" s="63">
        <v>1</v>
      </c>
      <c r="G121" s="63">
        <v>1</v>
      </c>
      <c r="H121" s="63">
        <v>2</v>
      </c>
      <c r="I121" s="63"/>
      <c r="J121" s="63">
        <v>2</v>
      </c>
      <c r="K121" s="71" t="str">
        <f t="shared" si="24"/>
        <v>002.001.001.002.---.002</v>
      </c>
      <c r="L121" s="71">
        <f t="shared" si="25"/>
        <v>1</v>
      </c>
      <c r="M121" s="71">
        <f t="shared" si="26"/>
        <v>4</v>
      </c>
      <c r="N121" s="71" t="b">
        <f t="shared" si="27"/>
        <v>1</v>
      </c>
      <c r="O121" s="71" t="b">
        <f t="shared" si="28"/>
        <v>1</v>
      </c>
      <c r="P121" s="71" t="b">
        <f t="shared" si="29"/>
        <v>1</v>
      </c>
      <c r="Q121" s="71" t="b">
        <f t="shared" si="30"/>
        <v>0</v>
      </c>
      <c r="R121" s="71" t="str">
        <f t="shared" si="31"/>
        <v>2.1.1.2.T2</v>
      </c>
      <c r="X121" s="60" t="s">
        <v>240</v>
      </c>
      <c r="AB121" s="63" t="s">
        <v>241</v>
      </c>
      <c r="AC121" s="63"/>
      <c r="AD121" s="63"/>
      <c r="AE121" s="63">
        <v>1</v>
      </c>
      <c r="AJ121" s="63"/>
      <c r="AK121" s="63"/>
      <c r="AN121" s="63"/>
      <c r="AO121" s="63"/>
    </row>
    <row r="122" spans="3:41" ht="18" customHeight="1">
      <c r="C122" s="63" t="s">
        <v>246</v>
      </c>
      <c r="D122" s="63" t="s">
        <v>246</v>
      </c>
      <c r="E122" s="63">
        <v>2</v>
      </c>
      <c r="F122" s="63">
        <v>1</v>
      </c>
      <c r="G122" s="63">
        <v>1</v>
      </c>
      <c r="H122" s="63">
        <v>2</v>
      </c>
      <c r="I122" s="63">
        <v>1</v>
      </c>
      <c r="J122" s="63"/>
      <c r="K122" s="71" t="str">
        <f t="shared" si="24"/>
        <v>002.001.001.002.001.---</v>
      </c>
      <c r="L122" s="71">
        <f t="shared" si="25"/>
        <v>1</v>
      </c>
      <c r="M122" s="71">
        <f t="shared" si="26"/>
        <v>5</v>
      </c>
      <c r="N122" s="71" t="b">
        <f t="shared" si="27"/>
        <v>0</v>
      </c>
      <c r="O122" s="71" t="b">
        <f t="shared" si="28"/>
        <v>1</v>
      </c>
      <c r="P122" s="71" t="b">
        <f t="shared" si="29"/>
        <v>1</v>
      </c>
      <c r="Q122" s="71" t="b">
        <f t="shared" si="30"/>
        <v>1</v>
      </c>
      <c r="R122" s="71" t="str">
        <f t="shared" si="31"/>
        <v>2.1.1.2.1</v>
      </c>
      <c r="W122" s="60" t="s">
        <v>242</v>
      </c>
      <c r="AB122" s="63" t="s">
        <v>244</v>
      </c>
      <c r="AC122" s="63"/>
      <c r="AD122" s="63"/>
      <c r="AE122" s="63">
        <v>1</v>
      </c>
      <c r="AJ122" s="63"/>
      <c r="AK122" s="63"/>
      <c r="AN122" s="63"/>
      <c r="AO122" s="63"/>
    </row>
    <row r="123" spans="3:41" ht="18" customHeight="1">
      <c r="C123" s="63" t="s">
        <v>246</v>
      </c>
      <c r="D123" s="63" t="s">
        <v>246</v>
      </c>
      <c r="E123" s="63">
        <v>2</v>
      </c>
      <c r="F123" s="63">
        <v>1</v>
      </c>
      <c r="G123" s="63">
        <v>1</v>
      </c>
      <c r="H123" s="63">
        <v>2</v>
      </c>
      <c r="I123" s="63">
        <v>1</v>
      </c>
      <c r="J123" s="63">
        <v>1</v>
      </c>
      <c r="K123" s="71" t="str">
        <f t="shared" si="24"/>
        <v>002.001.001.002.001.001</v>
      </c>
      <c r="L123" s="71">
        <f t="shared" si="25"/>
        <v>1</v>
      </c>
      <c r="M123" s="71">
        <f t="shared" si="26"/>
        <v>5</v>
      </c>
      <c r="N123" s="71" t="b">
        <f t="shared" si="27"/>
        <v>1</v>
      </c>
      <c r="O123" s="71" t="b">
        <f t="shared" si="28"/>
        <v>1</v>
      </c>
      <c r="P123" s="71" t="b">
        <f t="shared" si="29"/>
        <v>1</v>
      </c>
      <c r="Q123" s="71" t="b">
        <f t="shared" si="30"/>
        <v>0</v>
      </c>
      <c r="R123" s="71" t="str">
        <f t="shared" si="31"/>
        <v>2.1.1.2.1.T1</v>
      </c>
      <c r="X123" s="60" t="s">
        <v>243</v>
      </c>
      <c r="AB123" s="63" t="s">
        <v>244</v>
      </c>
      <c r="AC123" s="63"/>
      <c r="AD123" s="63"/>
      <c r="AE123" s="63">
        <v>1</v>
      </c>
      <c r="AJ123" s="63"/>
      <c r="AK123" s="63"/>
      <c r="AN123" s="63"/>
      <c r="AO123" s="63"/>
    </row>
    <row r="124" spans="3:41" ht="18" customHeight="1">
      <c r="C124" s="63" t="s">
        <v>246</v>
      </c>
      <c r="D124" s="63" t="s">
        <v>246</v>
      </c>
      <c r="E124" s="63">
        <v>2</v>
      </c>
      <c r="F124" s="63">
        <v>1</v>
      </c>
      <c r="G124" s="63">
        <v>1</v>
      </c>
      <c r="H124" s="63">
        <v>2</v>
      </c>
      <c r="I124" s="63">
        <v>1</v>
      </c>
      <c r="J124" s="63">
        <v>2</v>
      </c>
      <c r="K124" s="71" t="str">
        <f t="shared" si="24"/>
        <v>002.001.001.002.001.002</v>
      </c>
      <c r="L124" s="71">
        <f t="shared" si="25"/>
        <v>1</v>
      </c>
      <c r="M124" s="71">
        <f t="shared" si="26"/>
        <v>5</v>
      </c>
      <c r="N124" s="71" t="b">
        <f t="shared" si="27"/>
        <v>1</v>
      </c>
      <c r="O124" s="71" t="b">
        <f t="shared" si="28"/>
        <v>1</v>
      </c>
      <c r="P124" s="71" t="b">
        <f t="shared" si="29"/>
        <v>1</v>
      </c>
      <c r="Q124" s="71" t="b">
        <f t="shared" si="30"/>
        <v>0</v>
      </c>
      <c r="R124" s="71" t="str">
        <f t="shared" si="31"/>
        <v>2.1.1.2.1.T2</v>
      </c>
      <c r="X124" s="60" t="s">
        <v>245</v>
      </c>
      <c r="AB124" s="63" t="s">
        <v>244</v>
      </c>
      <c r="AC124" s="63"/>
      <c r="AD124" s="63"/>
      <c r="AE124" s="63">
        <v>1</v>
      </c>
      <c r="AJ124" s="63"/>
      <c r="AK124" s="63"/>
      <c r="AN124" s="63"/>
      <c r="AO124" s="63"/>
    </row>
    <row r="125" spans="3:41" ht="18" customHeight="1">
      <c r="C125" s="63" t="s">
        <v>246</v>
      </c>
      <c r="D125" s="63" t="s">
        <v>246</v>
      </c>
      <c r="E125" s="63">
        <v>2</v>
      </c>
      <c r="F125" s="63">
        <v>1</v>
      </c>
      <c r="G125" s="63">
        <v>1</v>
      </c>
      <c r="H125" s="63">
        <v>2</v>
      </c>
      <c r="I125" s="63">
        <v>2</v>
      </c>
      <c r="J125" s="63"/>
      <c r="K125" s="71" t="str">
        <f t="shared" si="24"/>
        <v>002.001.001.002.002.---</v>
      </c>
      <c r="L125" s="71">
        <f t="shared" si="25"/>
        <v>1</v>
      </c>
      <c r="M125" s="71">
        <f t="shared" si="26"/>
        <v>5</v>
      </c>
      <c r="N125" s="71" t="b">
        <f t="shared" si="27"/>
        <v>0</v>
      </c>
      <c r="O125" s="71" t="b">
        <f t="shared" si="28"/>
        <v>1</v>
      </c>
      <c r="P125" s="71" t="b">
        <f t="shared" si="29"/>
        <v>1</v>
      </c>
      <c r="Q125" s="71" t="b">
        <f t="shared" si="30"/>
        <v>1</v>
      </c>
      <c r="R125" s="71" t="str">
        <f t="shared" si="31"/>
        <v>2.1.1.2.2</v>
      </c>
      <c r="AB125" s="63" t="s">
        <v>244</v>
      </c>
      <c r="AC125" s="63"/>
      <c r="AD125" s="63"/>
      <c r="AE125" s="63">
        <v>1</v>
      </c>
      <c r="AJ125" s="63"/>
      <c r="AK125" s="63"/>
      <c r="AN125" s="63"/>
      <c r="AO125" s="63"/>
    </row>
    <row r="126" spans="3:41" ht="18" customHeight="1">
      <c r="C126" s="63" t="s">
        <v>246</v>
      </c>
      <c r="D126" s="63" t="s">
        <v>246</v>
      </c>
      <c r="E126" s="63">
        <v>2</v>
      </c>
      <c r="F126" s="63">
        <v>1</v>
      </c>
      <c r="G126" s="63">
        <v>1</v>
      </c>
      <c r="H126" s="63">
        <v>2</v>
      </c>
      <c r="I126" s="63">
        <v>2</v>
      </c>
      <c r="J126" s="63">
        <v>1</v>
      </c>
      <c r="K126" s="71" t="str">
        <f t="shared" si="24"/>
        <v>002.001.001.002.002.001</v>
      </c>
      <c r="L126" s="71">
        <f t="shared" si="25"/>
        <v>1</v>
      </c>
      <c r="M126" s="71">
        <f t="shared" si="26"/>
        <v>5</v>
      </c>
      <c r="N126" s="71" t="b">
        <f t="shared" si="27"/>
        <v>1</v>
      </c>
      <c r="O126" s="71" t="b">
        <f t="shared" si="28"/>
        <v>1</v>
      </c>
      <c r="P126" s="71" t="b">
        <f t="shared" si="29"/>
        <v>1</v>
      </c>
      <c r="Q126" s="71" t="b">
        <f t="shared" si="30"/>
        <v>0</v>
      </c>
      <c r="R126" s="71" t="str">
        <f t="shared" si="31"/>
        <v>2.1.1.2.2.T1</v>
      </c>
      <c r="X126" s="60" t="s">
        <v>243</v>
      </c>
      <c r="AB126" s="63" t="s">
        <v>244</v>
      </c>
      <c r="AC126" s="63"/>
      <c r="AD126" s="63"/>
      <c r="AE126" s="63">
        <v>1</v>
      </c>
      <c r="AJ126" s="63"/>
      <c r="AK126" s="63"/>
      <c r="AN126" s="63"/>
      <c r="AO126" s="63"/>
    </row>
    <row r="127" spans="3:41" ht="18" customHeight="1">
      <c r="C127" s="63" t="s">
        <v>246</v>
      </c>
      <c r="D127" s="63" t="s">
        <v>246</v>
      </c>
      <c r="E127" s="63">
        <v>2</v>
      </c>
      <c r="F127" s="63">
        <v>1</v>
      </c>
      <c r="G127" s="63">
        <v>1</v>
      </c>
      <c r="H127" s="63">
        <v>2</v>
      </c>
      <c r="I127" s="63">
        <v>2</v>
      </c>
      <c r="J127" s="63">
        <v>2</v>
      </c>
      <c r="K127" s="71" t="str">
        <f t="shared" si="24"/>
        <v>002.001.001.002.002.002</v>
      </c>
      <c r="L127" s="71">
        <f t="shared" si="25"/>
        <v>1</v>
      </c>
      <c r="M127" s="71">
        <f t="shared" si="26"/>
        <v>5</v>
      </c>
      <c r="N127" s="71" t="b">
        <f t="shared" si="27"/>
        <v>1</v>
      </c>
      <c r="O127" s="71" t="b">
        <f t="shared" si="28"/>
        <v>1</v>
      </c>
      <c r="P127" s="71" t="b">
        <f t="shared" si="29"/>
        <v>1</v>
      </c>
      <c r="Q127" s="71" t="b">
        <f t="shared" si="30"/>
        <v>0</v>
      </c>
      <c r="R127" s="71" t="str">
        <f t="shared" si="31"/>
        <v>2.1.1.2.2.T2</v>
      </c>
      <c r="X127" s="60" t="s">
        <v>245</v>
      </c>
      <c r="AB127" s="63" t="s">
        <v>244</v>
      </c>
      <c r="AC127" s="63"/>
      <c r="AD127" s="63"/>
      <c r="AE127" s="63">
        <v>1</v>
      </c>
      <c r="AJ127" s="63"/>
      <c r="AK127" s="63"/>
      <c r="AN127" s="63"/>
      <c r="AO127" s="63"/>
    </row>
    <row r="128" spans="3:41" ht="18" customHeight="1">
      <c r="C128" s="63" t="s">
        <v>246</v>
      </c>
      <c r="D128" s="63" t="s">
        <v>246</v>
      </c>
      <c r="E128" s="63">
        <v>2</v>
      </c>
      <c r="F128" s="63">
        <v>1</v>
      </c>
      <c r="G128" s="63">
        <v>2</v>
      </c>
      <c r="H128" s="63"/>
      <c r="I128" s="63"/>
      <c r="J128" s="63"/>
      <c r="K128" s="71" t="str">
        <f t="shared" si="24"/>
        <v>002.001.002.---.---.---</v>
      </c>
      <c r="L128" s="71">
        <f t="shared" si="25"/>
        <v>1</v>
      </c>
      <c r="M128" s="71">
        <f t="shared" si="26"/>
        <v>3</v>
      </c>
      <c r="N128" s="71" t="b">
        <f t="shared" si="27"/>
        <v>0</v>
      </c>
      <c r="O128" s="71" t="b">
        <f t="shared" si="28"/>
        <v>1</v>
      </c>
      <c r="P128" s="71" t="b">
        <f t="shared" si="29"/>
        <v>1</v>
      </c>
      <c r="Q128" s="71" t="b">
        <f t="shared" si="30"/>
        <v>1</v>
      </c>
      <c r="R128" s="71" t="str">
        <f t="shared" si="31"/>
        <v>2.1.2</v>
      </c>
      <c r="AB128" s="63" t="s">
        <v>244</v>
      </c>
      <c r="AC128" s="63"/>
      <c r="AD128" s="63"/>
      <c r="AE128" s="63">
        <v>1</v>
      </c>
      <c r="AJ128" s="63"/>
      <c r="AK128" s="63"/>
      <c r="AN128" s="63"/>
      <c r="AO128" s="63"/>
    </row>
    <row r="129" spans="3:41" ht="18" customHeight="1">
      <c r="C129" s="63" t="s">
        <v>246</v>
      </c>
      <c r="D129" s="63" t="s">
        <v>246</v>
      </c>
      <c r="E129" s="63">
        <v>2</v>
      </c>
      <c r="F129" s="63">
        <v>1</v>
      </c>
      <c r="G129" s="63">
        <v>2</v>
      </c>
      <c r="H129" s="63"/>
      <c r="I129" s="63"/>
      <c r="J129" s="63">
        <v>1</v>
      </c>
      <c r="K129" s="71" t="str">
        <f t="shared" si="24"/>
        <v>002.001.002.---.---.001</v>
      </c>
      <c r="L129" s="71">
        <f t="shared" si="25"/>
        <v>1</v>
      </c>
      <c r="M129" s="71">
        <f t="shared" si="26"/>
        <v>3</v>
      </c>
      <c r="N129" s="71" t="b">
        <f t="shared" si="27"/>
        <v>1</v>
      </c>
      <c r="O129" s="71" t="b">
        <f t="shared" si="28"/>
        <v>0</v>
      </c>
      <c r="P129" s="71" t="b">
        <f t="shared" si="29"/>
        <v>1</v>
      </c>
      <c r="Q129" s="71" t="b">
        <f t="shared" si="30"/>
        <v>0</v>
      </c>
      <c r="R129" s="71" t="str">
        <f t="shared" si="31"/>
        <v>2.1.2.T1</v>
      </c>
      <c r="X129" s="60" t="s">
        <v>234</v>
      </c>
      <c r="AB129" s="63" t="s">
        <v>235</v>
      </c>
      <c r="AC129" s="63"/>
      <c r="AD129" s="63"/>
      <c r="AE129" s="63">
        <v>1</v>
      </c>
      <c r="AJ129" s="63"/>
      <c r="AK129" s="63"/>
      <c r="AN129" s="63"/>
      <c r="AO129" s="63"/>
    </row>
    <row r="130" spans="3:41" ht="18" customHeight="1">
      <c r="C130" s="63" t="s">
        <v>246</v>
      </c>
      <c r="D130" s="63" t="s">
        <v>246</v>
      </c>
      <c r="E130" s="63">
        <v>2</v>
      </c>
      <c r="F130" s="63">
        <v>1</v>
      </c>
      <c r="G130" s="63">
        <v>2</v>
      </c>
      <c r="H130" s="63"/>
      <c r="I130" s="63"/>
      <c r="J130" s="63">
        <v>2</v>
      </c>
      <c r="K130" s="71" t="str">
        <f t="shared" si="24"/>
        <v>002.001.002.---.---.002</v>
      </c>
      <c r="L130" s="71">
        <f t="shared" si="25"/>
        <v>1</v>
      </c>
      <c r="M130" s="71">
        <f t="shared" si="26"/>
        <v>3</v>
      </c>
      <c r="N130" s="71" t="b">
        <f t="shared" si="27"/>
        <v>1</v>
      </c>
      <c r="O130" s="71" t="b">
        <f t="shared" si="28"/>
        <v>1</v>
      </c>
      <c r="P130" s="71" t="b">
        <f t="shared" si="29"/>
        <v>1</v>
      </c>
      <c r="Q130" s="71" t="b">
        <f t="shared" si="30"/>
        <v>0</v>
      </c>
      <c r="R130" s="71" t="str">
        <f t="shared" si="31"/>
        <v>2.1.2.T2</v>
      </c>
      <c r="X130" s="60" t="s">
        <v>236</v>
      </c>
      <c r="AB130" s="63" t="s">
        <v>237</v>
      </c>
      <c r="AC130" s="63"/>
      <c r="AD130" s="63"/>
      <c r="AE130" s="63">
        <v>1</v>
      </c>
      <c r="AJ130" s="63"/>
      <c r="AK130" s="63"/>
      <c r="AN130" s="63"/>
      <c r="AO130" s="63"/>
    </row>
    <row r="131" spans="3:41" ht="18" customHeight="1">
      <c r="C131" s="63" t="s">
        <v>246</v>
      </c>
      <c r="D131" s="63" t="s">
        <v>246</v>
      </c>
      <c r="E131" s="63">
        <v>2</v>
      </c>
      <c r="F131" s="63">
        <v>1</v>
      </c>
      <c r="G131" s="63">
        <v>2</v>
      </c>
      <c r="H131" s="63">
        <v>1</v>
      </c>
      <c r="I131" s="63"/>
      <c r="J131" s="63"/>
      <c r="K131" s="71" t="str">
        <f t="shared" si="24"/>
        <v>002.001.002.001.---.---</v>
      </c>
      <c r="L131" s="71">
        <f t="shared" si="25"/>
        <v>1</v>
      </c>
      <c r="M131" s="71">
        <f t="shared" si="26"/>
        <v>4</v>
      </c>
      <c r="N131" s="71" t="b">
        <f t="shared" si="27"/>
        <v>0</v>
      </c>
      <c r="O131" s="71" t="b">
        <f t="shared" si="28"/>
        <v>1</v>
      </c>
      <c r="P131" s="71" t="b">
        <f t="shared" si="29"/>
        <v>1</v>
      </c>
      <c r="Q131" s="71" t="b">
        <f t="shared" si="30"/>
        <v>1</v>
      </c>
      <c r="R131" s="71" t="str">
        <f t="shared" si="31"/>
        <v>2.1.2.1</v>
      </c>
      <c r="AB131" s="63" t="s">
        <v>244</v>
      </c>
      <c r="AC131" s="63"/>
      <c r="AD131" s="63"/>
      <c r="AE131" s="63">
        <v>1</v>
      </c>
      <c r="AJ131" s="63"/>
      <c r="AK131" s="63"/>
      <c r="AN131" s="63"/>
      <c r="AO131" s="63"/>
    </row>
    <row r="132" spans="3:41" ht="18" customHeight="1">
      <c r="C132" s="63" t="s">
        <v>246</v>
      </c>
      <c r="D132" s="63" t="s">
        <v>246</v>
      </c>
      <c r="E132" s="63">
        <v>2</v>
      </c>
      <c r="F132" s="63">
        <v>1</v>
      </c>
      <c r="G132" s="63">
        <v>2</v>
      </c>
      <c r="H132" s="63">
        <v>1</v>
      </c>
      <c r="I132" s="63"/>
      <c r="J132" s="63">
        <v>1</v>
      </c>
      <c r="K132" s="71" t="str">
        <f t="shared" si="24"/>
        <v>002.001.002.001.---.001</v>
      </c>
      <c r="L132" s="71">
        <f t="shared" si="25"/>
        <v>1</v>
      </c>
      <c r="M132" s="71">
        <f t="shared" si="26"/>
        <v>4</v>
      </c>
      <c r="N132" s="71" t="b">
        <f t="shared" si="27"/>
        <v>1</v>
      </c>
      <c r="O132" s="71" t="b">
        <f t="shared" si="28"/>
        <v>1</v>
      </c>
      <c r="P132" s="71" t="b">
        <f t="shared" si="29"/>
        <v>1</v>
      </c>
      <c r="Q132" s="71" t="b">
        <f t="shared" si="30"/>
        <v>0</v>
      </c>
      <c r="R132" s="71" t="str">
        <f t="shared" si="31"/>
        <v>2.1.2.1.T1</v>
      </c>
      <c r="V132" s="60" t="s">
        <v>238</v>
      </c>
      <c r="X132" s="60" t="s">
        <v>239</v>
      </c>
      <c r="AB132" s="63" t="s">
        <v>203</v>
      </c>
      <c r="AC132" s="63"/>
      <c r="AD132" s="63"/>
      <c r="AE132" s="63">
        <v>1</v>
      </c>
      <c r="AJ132" s="63"/>
      <c r="AK132" s="63"/>
      <c r="AN132" s="63"/>
      <c r="AO132" s="63"/>
    </row>
    <row r="133" spans="3:41" ht="18" customHeight="1">
      <c r="C133" s="63" t="s">
        <v>246</v>
      </c>
      <c r="D133" s="63" t="s">
        <v>246</v>
      </c>
      <c r="E133" s="63">
        <v>2</v>
      </c>
      <c r="F133" s="63">
        <v>1</v>
      </c>
      <c r="G133" s="63">
        <v>2</v>
      </c>
      <c r="H133" s="63">
        <v>1</v>
      </c>
      <c r="I133" s="63"/>
      <c r="J133" s="63">
        <v>2</v>
      </c>
      <c r="K133" s="71" t="str">
        <f t="shared" si="24"/>
        <v>002.001.002.001.---.002</v>
      </c>
      <c r="L133" s="71">
        <f t="shared" si="25"/>
        <v>1</v>
      </c>
      <c r="M133" s="71">
        <f t="shared" si="26"/>
        <v>4</v>
      </c>
      <c r="N133" s="71" t="b">
        <f t="shared" si="27"/>
        <v>1</v>
      </c>
      <c r="O133" s="71" t="b">
        <f t="shared" si="28"/>
        <v>1</v>
      </c>
      <c r="P133" s="71" t="b">
        <f t="shared" si="29"/>
        <v>1</v>
      </c>
      <c r="Q133" s="71" t="b">
        <f t="shared" si="30"/>
        <v>0</v>
      </c>
      <c r="R133" s="71" t="str">
        <f t="shared" si="31"/>
        <v>2.1.2.1.T2</v>
      </c>
      <c r="X133" s="60" t="s">
        <v>240</v>
      </c>
      <c r="AB133" s="63" t="s">
        <v>241</v>
      </c>
      <c r="AC133" s="63"/>
      <c r="AD133" s="63"/>
      <c r="AE133" s="63">
        <v>1</v>
      </c>
      <c r="AJ133" s="63"/>
      <c r="AK133" s="63"/>
      <c r="AN133" s="63"/>
      <c r="AO133" s="63"/>
    </row>
    <row r="134" spans="3:41" ht="18" customHeight="1">
      <c r="C134" s="63" t="s">
        <v>246</v>
      </c>
      <c r="D134" s="63" t="s">
        <v>246</v>
      </c>
      <c r="E134" s="63">
        <v>2</v>
      </c>
      <c r="F134" s="63">
        <v>1</v>
      </c>
      <c r="G134" s="63">
        <v>2</v>
      </c>
      <c r="H134" s="63">
        <v>1</v>
      </c>
      <c r="I134" s="63">
        <v>1</v>
      </c>
      <c r="J134" s="63"/>
      <c r="K134" s="71" t="str">
        <f t="shared" si="24"/>
        <v>002.001.002.001.001.---</v>
      </c>
      <c r="L134" s="71">
        <f t="shared" si="25"/>
        <v>1</v>
      </c>
      <c r="M134" s="71">
        <f t="shared" si="26"/>
        <v>5</v>
      </c>
      <c r="N134" s="71" t="b">
        <f t="shared" si="27"/>
        <v>0</v>
      </c>
      <c r="O134" s="71" t="b">
        <f t="shared" si="28"/>
        <v>1</v>
      </c>
      <c r="P134" s="71" t="b">
        <f t="shared" si="29"/>
        <v>1</v>
      </c>
      <c r="Q134" s="71" t="b">
        <f t="shared" si="30"/>
        <v>1</v>
      </c>
      <c r="R134" s="71" t="str">
        <f t="shared" si="31"/>
        <v>2.1.2.1.1</v>
      </c>
      <c r="W134" s="60" t="s">
        <v>242</v>
      </c>
      <c r="AB134" s="63" t="s">
        <v>244</v>
      </c>
      <c r="AC134" s="63"/>
      <c r="AD134" s="63"/>
      <c r="AE134" s="63">
        <v>1</v>
      </c>
      <c r="AJ134" s="63"/>
      <c r="AK134" s="63"/>
      <c r="AN134" s="63"/>
      <c r="AO134" s="63"/>
    </row>
    <row r="135" spans="3:41" ht="18" customHeight="1">
      <c r="C135" s="63" t="s">
        <v>246</v>
      </c>
      <c r="D135" s="63" t="s">
        <v>246</v>
      </c>
      <c r="E135" s="63">
        <v>2</v>
      </c>
      <c r="F135" s="63">
        <v>1</v>
      </c>
      <c r="G135" s="63">
        <v>2</v>
      </c>
      <c r="H135" s="63">
        <v>1</v>
      </c>
      <c r="I135" s="63">
        <v>1</v>
      </c>
      <c r="J135" s="63">
        <v>1</v>
      </c>
      <c r="K135" s="71" t="str">
        <f t="shared" si="24"/>
        <v>002.001.002.001.001.001</v>
      </c>
      <c r="L135" s="71">
        <f t="shared" si="25"/>
        <v>1</v>
      </c>
      <c r="M135" s="71">
        <f t="shared" si="26"/>
        <v>5</v>
      </c>
      <c r="N135" s="71" t="b">
        <f t="shared" si="27"/>
        <v>1</v>
      </c>
      <c r="O135" s="71" t="b">
        <f t="shared" si="28"/>
        <v>1</v>
      </c>
      <c r="P135" s="71" t="b">
        <f t="shared" si="29"/>
        <v>1</v>
      </c>
      <c r="Q135" s="71" t="b">
        <f t="shared" si="30"/>
        <v>0</v>
      </c>
      <c r="R135" s="71" t="str">
        <f t="shared" si="31"/>
        <v>2.1.2.1.1.T1</v>
      </c>
      <c r="X135" s="60" t="s">
        <v>243</v>
      </c>
      <c r="AB135" s="63" t="s">
        <v>244</v>
      </c>
      <c r="AC135" s="63"/>
      <c r="AD135" s="63"/>
      <c r="AE135" s="63">
        <v>1</v>
      </c>
      <c r="AJ135" s="63"/>
      <c r="AK135" s="63"/>
      <c r="AN135" s="63"/>
      <c r="AO135" s="63"/>
    </row>
    <row r="136" spans="3:41" ht="18" customHeight="1">
      <c r="C136" s="63" t="s">
        <v>246</v>
      </c>
      <c r="D136" s="63" t="s">
        <v>246</v>
      </c>
      <c r="E136" s="63">
        <v>2</v>
      </c>
      <c r="F136" s="63">
        <v>1</v>
      </c>
      <c r="G136" s="63">
        <v>2</v>
      </c>
      <c r="H136" s="63">
        <v>1</v>
      </c>
      <c r="I136" s="63">
        <v>1</v>
      </c>
      <c r="J136" s="63">
        <v>2</v>
      </c>
      <c r="K136" s="71" t="str">
        <f t="shared" ref="K136:K167" si="32">IF(B136="E","ERROR",IF(E136="","XXX.XXX.XXX.XXX.XXX.XXX", _xlfn.CONCAT(TEXT(E136,"000"),IF(F136="",".---", "." &amp; TEXT(F136,"000")),IF(G136="",".---", "." &amp; TEXT(G136,"000")),IF(H136="",".---", "." &amp; TEXT(H136,"000")),IF(I136="",".---", "." &amp; TEXT(I136,"000")),IF(J136="",".---", "." &amp; TEXT(J136,"000")))))</f>
        <v>002.001.002.001.001.002</v>
      </c>
      <c r="L136" s="71">
        <f t="shared" ref="L136:L167" si="33">COUNTIF(K$8:K$158,K136)</f>
        <v>1</v>
      </c>
      <c r="M136" s="71">
        <f t="shared" ref="M136:M158" si="34">IF(AND(ISNUMBER(E136),F136="",G136="",H136="",I136=""),1,IF(AND(ISNUMBER(E136),ISNUMBER(F136),G136="",H136="",I136=""),2,IF(AND(ISNUMBER(E136),ISNUMBER(F136),ISNUMBER(G136),H136="",I136=""),3,IF(AND(ISNUMBER(E136),ISNUMBER(F136),ISNUMBER(G136),ISNUMBER(H136),I136=""),4,IF(AND(ISNUMBER(E136),ISNUMBER(F136),ISNUMBER(G136),ISNUMBER(H136),ISNUMBER(I136)),5,0)))))</f>
        <v>5</v>
      </c>
      <c r="N136" s="71" t="b">
        <f t="shared" ref="N136:N158" si="35">IF(AND(J136&lt;&gt;"",ISNUMBER(J136)),TRUE,FALSE)</f>
        <v>1</v>
      </c>
      <c r="O136" s="71" t="b">
        <f t="shared" ref="O136:O158" si="36">NOT(OR(AB136="移管済",AB136="棚上げ",AB136="却下"))</f>
        <v>1</v>
      </c>
      <c r="P136" s="71" t="b">
        <f t="shared" ref="P136:P158" si="37">AND(M136&gt;0,R136&lt;&gt;"",IFERROR(ISNUMBER(MATCH(IFERROR(LEFT(R136,FIND("~",SUBSTITUTE(R136,".","~",LEN(R136)-LEN(SUBSTITUTE(R136,".",""))))-1),R136),R$8:R$158,0)),FALSE))</f>
        <v>1</v>
      </c>
      <c r="Q136" s="71" t="b">
        <f t="shared" ref="Q136:Q167" si="38">AND(M136&gt;0,N136=FALSE,R136&lt;&gt;"",IFERROR(SUMPRODUCT(--(LEFT(R$8:R$158,LEN(R136&amp;"."))=R136&amp;"."))&gt;0,FALSE))</f>
        <v>0</v>
      </c>
      <c r="R136" s="71" t="str">
        <f t="shared" ref="R136:R158" si="39">IF(B136="E","ERROR",IF(E136="","",_xlfn.CONCAT(E136,IF(F136="","","."&amp;F136 ), IF(G136="","","."&amp;G136 ), IF(H136="","","."&amp;H136 ), IF(I136="","","."&amp;I136 ), IF(J136="","",".T"&amp;J136 ))))</f>
        <v>2.1.2.1.1.T2</v>
      </c>
      <c r="X136" s="60" t="s">
        <v>245</v>
      </c>
      <c r="AB136" s="63" t="s">
        <v>244</v>
      </c>
      <c r="AC136" s="63"/>
      <c r="AD136" s="63"/>
      <c r="AE136" s="63">
        <v>1</v>
      </c>
      <c r="AJ136" s="63"/>
      <c r="AK136" s="63"/>
      <c r="AN136" s="63"/>
      <c r="AO136" s="63"/>
    </row>
    <row r="137" spans="3:41" ht="18" customHeight="1">
      <c r="C137" s="63" t="s">
        <v>246</v>
      </c>
      <c r="D137" s="63" t="s">
        <v>246</v>
      </c>
      <c r="E137" s="63">
        <v>2</v>
      </c>
      <c r="F137" s="63">
        <v>1</v>
      </c>
      <c r="G137" s="63">
        <v>2</v>
      </c>
      <c r="H137" s="63">
        <v>1</v>
      </c>
      <c r="I137" s="63">
        <v>2</v>
      </c>
      <c r="J137" s="63"/>
      <c r="K137" s="71" t="str">
        <f t="shared" si="32"/>
        <v>002.001.002.001.002.---</v>
      </c>
      <c r="L137" s="71">
        <f t="shared" si="33"/>
        <v>1</v>
      </c>
      <c r="M137" s="71">
        <f t="shared" si="34"/>
        <v>5</v>
      </c>
      <c r="N137" s="71" t="b">
        <f t="shared" si="35"/>
        <v>0</v>
      </c>
      <c r="O137" s="71" t="b">
        <f t="shared" si="36"/>
        <v>1</v>
      </c>
      <c r="P137" s="71" t="b">
        <f t="shared" si="37"/>
        <v>1</v>
      </c>
      <c r="Q137" s="71" t="b">
        <f t="shared" si="38"/>
        <v>1</v>
      </c>
      <c r="R137" s="71" t="str">
        <f t="shared" si="39"/>
        <v>2.1.2.1.2</v>
      </c>
      <c r="AB137" s="63" t="s">
        <v>244</v>
      </c>
      <c r="AC137" s="63"/>
      <c r="AD137" s="63"/>
      <c r="AE137" s="63">
        <v>1</v>
      </c>
      <c r="AJ137" s="63"/>
      <c r="AK137" s="63"/>
      <c r="AN137" s="63"/>
      <c r="AO137" s="63"/>
    </row>
    <row r="138" spans="3:41" ht="18" customHeight="1">
      <c r="C138" s="63" t="s">
        <v>246</v>
      </c>
      <c r="D138" s="63" t="s">
        <v>246</v>
      </c>
      <c r="E138" s="63">
        <v>2</v>
      </c>
      <c r="F138" s="63">
        <v>1</v>
      </c>
      <c r="G138" s="63">
        <v>2</v>
      </c>
      <c r="H138" s="63">
        <v>1</v>
      </c>
      <c r="I138" s="63">
        <v>2</v>
      </c>
      <c r="J138" s="63">
        <v>1</v>
      </c>
      <c r="K138" s="71" t="str">
        <f t="shared" si="32"/>
        <v>002.001.002.001.002.001</v>
      </c>
      <c r="L138" s="71">
        <f t="shared" si="33"/>
        <v>1</v>
      </c>
      <c r="M138" s="71">
        <f t="shared" si="34"/>
        <v>5</v>
      </c>
      <c r="N138" s="71" t="b">
        <f t="shared" si="35"/>
        <v>1</v>
      </c>
      <c r="O138" s="71" t="b">
        <f t="shared" si="36"/>
        <v>1</v>
      </c>
      <c r="P138" s="71" t="b">
        <f t="shared" si="37"/>
        <v>1</v>
      </c>
      <c r="Q138" s="71" t="b">
        <f t="shared" si="38"/>
        <v>0</v>
      </c>
      <c r="R138" s="71" t="str">
        <f t="shared" si="39"/>
        <v>2.1.2.1.2.T1</v>
      </c>
      <c r="X138" s="60" t="s">
        <v>243</v>
      </c>
      <c r="AB138" s="63" t="s">
        <v>244</v>
      </c>
      <c r="AC138" s="63"/>
      <c r="AD138" s="63"/>
      <c r="AE138" s="63">
        <v>1</v>
      </c>
      <c r="AJ138" s="63"/>
      <c r="AK138" s="63"/>
      <c r="AN138" s="63"/>
      <c r="AO138" s="63"/>
    </row>
    <row r="139" spans="3:41" ht="18" customHeight="1">
      <c r="C139" s="63" t="s">
        <v>246</v>
      </c>
      <c r="D139" s="63" t="s">
        <v>246</v>
      </c>
      <c r="E139" s="63">
        <v>2</v>
      </c>
      <c r="F139" s="63">
        <v>1</v>
      </c>
      <c r="G139" s="63">
        <v>2</v>
      </c>
      <c r="H139" s="63">
        <v>1</v>
      </c>
      <c r="I139" s="63">
        <v>2</v>
      </c>
      <c r="J139" s="63">
        <v>2</v>
      </c>
      <c r="K139" s="71" t="str">
        <f t="shared" si="32"/>
        <v>002.001.002.001.002.002</v>
      </c>
      <c r="L139" s="71">
        <f t="shared" si="33"/>
        <v>1</v>
      </c>
      <c r="M139" s="71">
        <f t="shared" si="34"/>
        <v>5</v>
      </c>
      <c r="N139" s="71" t="b">
        <f t="shared" si="35"/>
        <v>1</v>
      </c>
      <c r="O139" s="71" t="b">
        <f t="shared" si="36"/>
        <v>1</v>
      </c>
      <c r="P139" s="71" t="b">
        <f t="shared" si="37"/>
        <v>1</v>
      </c>
      <c r="Q139" s="71" t="b">
        <f t="shared" si="38"/>
        <v>0</v>
      </c>
      <c r="R139" s="71" t="str">
        <f t="shared" si="39"/>
        <v>2.1.2.1.2.T2</v>
      </c>
      <c r="X139" s="60" t="s">
        <v>245</v>
      </c>
      <c r="AB139" s="63" t="s">
        <v>244</v>
      </c>
      <c r="AC139" s="63"/>
      <c r="AD139" s="63"/>
      <c r="AE139" s="63">
        <v>1</v>
      </c>
      <c r="AJ139" s="63"/>
      <c r="AK139" s="63"/>
      <c r="AN139" s="63"/>
      <c r="AO139" s="63"/>
    </row>
    <row r="140" spans="3:41" ht="18" customHeight="1">
      <c r="C140" s="63" t="s">
        <v>246</v>
      </c>
      <c r="D140" s="63" t="s">
        <v>246</v>
      </c>
      <c r="E140" s="63">
        <v>2</v>
      </c>
      <c r="F140" s="63">
        <v>1</v>
      </c>
      <c r="G140" s="63">
        <v>2</v>
      </c>
      <c r="H140" s="63">
        <v>2</v>
      </c>
      <c r="I140" s="63"/>
      <c r="J140" s="63"/>
      <c r="K140" s="71" t="str">
        <f t="shared" si="32"/>
        <v>002.001.002.002.---.---</v>
      </c>
      <c r="L140" s="71">
        <f t="shared" si="33"/>
        <v>1</v>
      </c>
      <c r="M140" s="71">
        <f t="shared" si="34"/>
        <v>4</v>
      </c>
      <c r="N140" s="71" t="b">
        <f t="shared" si="35"/>
        <v>0</v>
      </c>
      <c r="O140" s="71" t="b">
        <f t="shared" si="36"/>
        <v>1</v>
      </c>
      <c r="P140" s="71" t="b">
        <f t="shared" si="37"/>
        <v>1</v>
      </c>
      <c r="Q140" s="71" t="b">
        <f t="shared" si="38"/>
        <v>1</v>
      </c>
      <c r="R140" s="71" t="str">
        <f t="shared" si="39"/>
        <v>2.1.2.2</v>
      </c>
      <c r="AB140" s="63" t="s">
        <v>244</v>
      </c>
      <c r="AC140" s="63"/>
      <c r="AD140" s="63"/>
      <c r="AE140" s="63">
        <v>1</v>
      </c>
      <c r="AJ140" s="63"/>
      <c r="AK140" s="63"/>
      <c r="AN140" s="63"/>
      <c r="AO140" s="63"/>
    </row>
    <row r="141" spans="3:41" ht="18" customHeight="1">
      <c r="C141" s="63" t="s">
        <v>246</v>
      </c>
      <c r="D141" s="63" t="s">
        <v>246</v>
      </c>
      <c r="E141" s="63">
        <v>2</v>
      </c>
      <c r="F141" s="63">
        <v>1</v>
      </c>
      <c r="G141" s="63">
        <v>2</v>
      </c>
      <c r="H141" s="63">
        <v>2</v>
      </c>
      <c r="I141" s="63"/>
      <c r="J141" s="63">
        <v>1</v>
      </c>
      <c r="K141" s="71" t="str">
        <f t="shared" si="32"/>
        <v>002.001.002.002.---.001</v>
      </c>
      <c r="L141" s="71">
        <f t="shared" si="33"/>
        <v>1</v>
      </c>
      <c r="M141" s="71">
        <f t="shared" si="34"/>
        <v>4</v>
      </c>
      <c r="N141" s="71" t="b">
        <f t="shared" si="35"/>
        <v>1</v>
      </c>
      <c r="O141" s="71" t="b">
        <f t="shared" si="36"/>
        <v>1</v>
      </c>
      <c r="P141" s="71" t="b">
        <f t="shared" si="37"/>
        <v>1</v>
      </c>
      <c r="Q141" s="71" t="b">
        <f t="shared" si="38"/>
        <v>0</v>
      </c>
      <c r="R141" s="71" t="str">
        <f t="shared" si="39"/>
        <v>2.1.2.2.T1</v>
      </c>
      <c r="X141" s="60" t="s">
        <v>239</v>
      </c>
      <c r="AB141" s="63" t="s">
        <v>203</v>
      </c>
      <c r="AC141" s="63"/>
      <c r="AD141" s="63"/>
      <c r="AE141" s="63">
        <v>1</v>
      </c>
      <c r="AJ141" s="63"/>
      <c r="AK141" s="63"/>
      <c r="AN141" s="63"/>
      <c r="AO141" s="63"/>
    </row>
    <row r="142" spans="3:41" ht="18" customHeight="1">
      <c r="C142" s="63" t="s">
        <v>246</v>
      </c>
      <c r="D142" s="63" t="s">
        <v>246</v>
      </c>
      <c r="E142" s="63">
        <v>2</v>
      </c>
      <c r="F142" s="63">
        <v>1</v>
      </c>
      <c r="G142" s="63">
        <v>2</v>
      </c>
      <c r="H142" s="63">
        <v>2</v>
      </c>
      <c r="I142" s="63"/>
      <c r="J142" s="63">
        <v>2</v>
      </c>
      <c r="K142" s="71" t="str">
        <f t="shared" si="32"/>
        <v>002.001.002.002.---.002</v>
      </c>
      <c r="L142" s="71">
        <f t="shared" si="33"/>
        <v>1</v>
      </c>
      <c r="M142" s="71">
        <f t="shared" si="34"/>
        <v>4</v>
      </c>
      <c r="N142" s="71" t="b">
        <f t="shared" si="35"/>
        <v>1</v>
      </c>
      <c r="O142" s="71" t="b">
        <f t="shared" si="36"/>
        <v>1</v>
      </c>
      <c r="P142" s="71" t="b">
        <f t="shared" si="37"/>
        <v>1</v>
      </c>
      <c r="Q142" s="71" t="b">
        <f t="shared" si="38"/>
        <v>0</v>
      </c>
      <c r="R142" s="71" t="str">
        <f t="shared" si="39"/>
        <v>2.1.2.2.T2</v>
      </c>
      <c r="X142" s="60" t="s">
        <v>240</v>
      </c>
      <c r="AB142" s="63" t="s">
        <v>241</v>
      </c>
      <c r="AC142" s="63"/>
      <c r="AD142" s="63"/>
      <c r="AE142" s="63">
        <v>1</v>
      </c>
      <c r="AJ142" s="63"/>
      <c r="AK142" s="63"/>
      <c r="AN142" s="63"/>
      <c r="AO142" s="63"/>
    </row>
    <row r="143" spans="3:41" ht="18" customHeight="1">
      <c r="C143" s="63" t="s">
        <v>246</v>
      </c>
      <c r="D143" s="63" t="s">
        <v>246</v>
      </c>
      <c r="E143" s="63">
        <v>2</v>
      </c>
      <c r="F143" s="63">
        <v>1</v>
      </c>
      <c r="G143" s="63">
        <v>2</v>
      </c>
      <c r="H143" s="63">
        <v>2</v>
      </c>
      <c r="I143" s="63">
        <v>1</v>
      </c>
      <c r="J143" s="63"/>
      <c r="K143" s="71" t="str">
        <f t="shared" si="32"/>
        <v>002.001.002.002.001.---</v>
      </c>
      <c r="L143" s="71">
        <f t="shared" si="33"/>
        <v>1</v>
      </c>
      <c r="M143" s="71">
        <f t="shared" si="34"/>
        <v>5</v>
      </c>
      <c r="N143" s="71" t="b">
        <f t="shared" si="35"/>
        <v>0</v>
      </c>
      <c r="O143" s="71" t="b">
        <f t="shared" si="36"/>
        <v>1</v>
      </c>
      <c r="P143" s="71" t="b">
        <f t="shared" si="37"/>
        <v>1</v>
      </c>
      <c r="Q143" s="71" t="b">
        <f t="shared" si="38"/>
        <v>1</v>
      </c>
      <c r="R143" s="71" t="str">
        <f t="shared" si="39"/>
        <v>2.1.2.2.1</v>
      </c>
      <c r="W143" s="60" t="s">
        <v>242</v>
      </c>
      <c r="AB143" s="63" t="s">
        <v>244</v>
      </c>
      <c r="AC143" s="63"/>
      <c r="AD143" s="63"/>
      <c r="AE143" s="63">
        <v>1</v>
      </c>
      <c r="AJ143" s="63"/>
      <c r="AK143" s="63"/>
      <c r="AN143" s="63"/>
      <c r="AO143" s="63"/>
    </row>
    <row r="144" spans="3:41" ht="18" customHeight="1">
      <c r="C144" s="63" t="s">
        <v>246</v>
      </c>
      <c r="D144" s="63" t="s">
        <v>246</v>
      </c>
      <c r="E144" s="63">
        <v>2</v>
      </c>
      <c r="F144" s="63">
        <v>1</v>
      </c>
      <c r="G144" s="63">
        <v>2</v>
      </c>
      <c r="H144" s="63">
        <v>2</v>
      </c>
      <c r="I144" s="63">
        <v>1</v>
      </c>
      <c r="J144" s="63">
        <v>1</v>
      </c>
      <c r="K144" s="71" t="str">
        <f t="shared" si="32"/>
        <v>002.001.002.002.001.001</v>
      </c>
      <c r="L144" s="71">
        <f t="shared" si="33"/>
        <v>1</v>
      </c>
      <c r="M144" s="71">
        <f t="shared" si="34"/>
        <v>5</v>
      </c>
      <c r="N144" s="71" t="b">
        <f t="shared" si="35"/>
        <v>1</v>
      </c>
      <c r="O144" s="71" t="b">
        <f t="shared" si="36"/>
        <v>1</v>
      </c>
      <c r="P144" s="71" t="b">
        <f t="shared" si="37"/>
        <v>1</v>
      </c>
      <c r="Q144" s="71" t="b">
        <f t="shared" si="38"/>
        <v>0</v>
      </c>
      <c r="R144" s="71" t="str">
        <f t="shared" si="39"/>
        <v>2.1.2.2.1.T1</v>
      </c>
      <c r="X144" s="60" t="s">
        <v>243</v>
      </c>
      <c r="AB144" s="63" t="s">
        <v>244</v>
      </c>
      <c r="AC144" s="63"/>
      <c r="AD144" s="63"/>
      <c r="AE144" s="63">
        <v>1</v>
      </c>
      <c r="AJ144" s="63"/>
      <c r="AK144" s="63"/>
      <c r="AN144" s="63"/>
      <c r="AO144" s="63"/>
    </row>
    <row r="145" spans="1:42" ht="18" customHeight="1">
      <c r="C145" s="63" t="s">
        <v>246</v>
      </c>
      <c r="D145" s="63" t="s">
        <v>246</v>
      </c>
      <c r="E145" s="63">
        <v>2</v>
      </c>
      <c r="F145" s="63">
        <v>1</v>
      </c>
      <c r="G145" s="63">
        <v>2</v>
      </c>
      <c r="H145" s="63">
        <v>2</v>
      </c>
      <c r="I145" s="63">
        <v>1</v>
      </c>
      <c r="J145" s="63">
        <v>2</v>
      </c>
      <c r="K145" s="71" t="str">
        <f t="shared" si="32"/>
        <v>002.001.002.002.001.002</v>
      </c>
      <c r="L145" s="71">
        <f t="shared" si="33"/>
        <v>1</v>
      </c>
      <c r="M145" s="71">
        <f t="shared" si="34"/>
        <v>5</v>
      </c>
      <c r="N145" s="71" t="b">
        <f t="shared" si="35"/>
        <v>1</v>
      </c>
      <c r="O145" s="71" t="b">
        <f t="shared" si="36"/>
        <v>1</v>
      </c>
      <c r="P145" s="71" t="b">
        <f t="shared" si="37"/>
        <v>1</v>
      </c>
      <c r="Q145" s="71" t="b">
        <f t="shared" si="38"/>
        <v>0</v>
      </c>
      <c r="R145" s="71" t="str">
        <f t="shared" si="39"/>
        <v>2.1.2.2.1.T2</v>
      </c>
      <c r="X145" s="60" t="s">
        <v>245</v>
      </c>
      <c r="AB145" s="63" t="s">
        <v>244</v>
      </c>
      <c r="AC145" s="63"/>
      <c r="AD145" s="63"/>
      <c r="AE145" s="63">
        <v>1</v>
      </c>
      <c r="AJ145" s="63"/>
      <c r="AK145" s="63"/>
      <c r="AN145" s="63"/>
      <c r="AO145" s="63"/>
    </row>
    <row r="146" spans="1:42" ht="18" customHeight="1">
      <c r="C146" s="63" t="s">
        <v>246</v>
      </c>
      <c r="D146" s="63" t="s">
        <v>246</v>
      </c>
      <c r="E146" s="63">
        <v>2</v>
      </c>
      <c r="F146" s="63">
        <v>1</v>
      </c>
      <c r="G146" s="63">
        <v>2</v>
      </c>
      <c r="H146" s="63">
        <v>2</v>
      </c>
      <c r="I146" s="63">
        <v>2</v>
      </c>
      <c r="J146" s="63"/>
      <c r="K146" s="71" t="str">
        <f t="shared" si="32"/>
        <v>002.001.002.002.002.---</v>
      </c>
      <c r="L146" s="71">
        <f t="shared" si="33"/>
        <v>1</v>
      </c>
      <c r="M146" s="71">
        <f t="shared" si="34"/>
        <v>5</v>
      </c>
      <c r="N146" s="71" t="b">
        <f t="shared" si="35"/>
        <v>0</v>
      </c>
      <c r="O146" s="71" t="b">
        <f t="shared" si="36"/>
        <v>1</v>
      </c>
      <c r="P146" s="71" t="b">
        <f t="shared" si="37"/>
        <v>1</v>
      </c>
      <c r="Q146" s="71" t="b">
        <f t="shared" si="38"/>
        <v>1</v>
      </c>
      <c r="R146" s="71" t="str">
        <f t="shared" si="39"/>
        <v>2.1.2.2.2</v>
      </c>
      <c r="AB146" s="63" t="s">
        <v>244</v>
      </c>
      <c r="AC146" s="63"/>
      <c r="AD146" s="63"/>
      <c r="AE146" s="63">
        <v>1</v>
      </c>
      <c r="AJ146" s="63"/>
      <c r="AK146" s="63"/>
      <c r="AN146" s="63"/>
      <c r="AO146" s="63"/>
    </row>
    <row r="147" spans="1:42" ht="18" customHeight="1">
      <c r="C147" s="63" t="s">
        <v>246</v>
      </c>
      <c r="D147" s="63" t="s">
        <v>246</v>
      </c>
      <c r="E147" s="63">
        <v>2</v>
      </c>
      <c r="F147" s="63">
        <v>1</v>
      </c>
      <c r="G147" s="63">
        <v>2</v>
      </c>
      <c r="H147" s="63">
        <v>2</v>
      </c>
      <c r="I147" s="63">
        <v>2</v>
      </c>
      <c r="J147" s="63">
        <v>1</v>
      </c>
      <c r="K147" s="71" t="str">
        <f t="shared" si="32"/>
        <v>002.001.002.002.002.001</v>
      </c>
      <c r="L147" s="71">
        <f t="shared" si="33"/>
        <v>1</v>
      </c>
      <c r="M147" s="71">
        <f t="shared" si="34"/>
        <v>5</v>
      </c>
      <c r="N147" s="71" t="b">
        <f t="shared" si="35"/>
        <v>1</v>
      </c>
      <c r="O147" s="71" t="b">
        <f t="shared" si="36"/>
        <v>1</v>
      </c>
      <c r="P147" s="71" t="b">
        <f t="shared" si="37"/>
        <v>1</v>
      </c>
      <c r="Q147" s="71" t="b">
        <f t="shared" si="38"/>
        <v>0</v>
      </c>
      <c r="R147" s="71" t="str">
        <f t="shared" si="39"/>
        <v>2.1.2.2.2.T1</v>
      </c>
      <c r="X147" s="60" t="s">
        <v>243</v>
      </c>
      <c r="AB147" s="63" t="s">
        <v>244</v>
      </c>
      <c r="AC147" s="63"/>
      <c r="AD147" s="63"/>
      <c r="AE147" s="63">
        <v>1</v>
      </c>
      <c r="AJ147" s="63"/>
      <c r="AK147" s="63"/>
      <c r="AN147" s="63"/>
      <c r="AO147" s="63"/>
    </row>
    <row r="148" spans="1:42" ht="18" customHeight="1">
      <c r="C148" s="63" t="s">
        <v>246</v>
      </c>
      <c r="D148" s="63" t="s">
        <v>246</v>
      </c>
      <c r="E148" s="63">
        <v>2</v>
      </c>
      <c r="F148" s="63">
        <v>1</v>
      </c>
      <c r="G148" s="63">
        <v>2</v>
      </c>
      <c r="H148" s="63">
        <v>2</v>
      </c>
      <c r="I148" s="63">
        <v>2</v>
      </c>
      <c r="J148" s="63">
        <v>2</v>
      </c>
      <c r="K148" s="71" t="str">
        <f t="shared" si="32"/>
        <v>002.001.002.002.002.002</v>
      </c>
      <c r="L148" s="71">
        <f t="shared" si="33"/>
        <v>1</v>
      </c>
      <c r="M148" s="71">
        <f t="shared" si="34"/>
        <v>5</v>
      </c>
      <c r="N148" s="71" t="b">
        <f t="shared" si="35"/>
        <v>1</v>
      </c>
      <c r="O148" s="71" t="b">
        <f t="shared" si="36"/>
        <v>1</v>
      </c>
      <c r="P148" s="71" t="b">
        <f t="shared" si="37"/>
        <v>1</v>
      </c>
      <c r="Q148" s="71" t="b">
        <f t="shared" si="38"/>
        <v>0</v>
      </c>
      <c r="R148" s="71" t="str">
        <f t="shared" si="39"/>
        <v>2.1.2.2.2.T2</v>
      </c>
      <c r="X148" s="60" t="s">
        <v>245</v>
      </c>
      <c r="AB148" s="63" t="s">
        <v>244</v>
      </c>
      <c r="AC148" s="63"/>
      <c r="AD148" s="63"/>
      <c r="AE148" s="63">
        <v>1</v>
      </c>
      <c r="AJ148" s="63"/>
      <c r="AK148" s="63"/>
      <c r="AN148" s="63"/>
      <c r="AO148" s="63"/>
    </row>
    <row r="149" spans="1:42" ht="18" customHeight="1">
      <c r="C149" s="63" t="s">
        <v>246</v>
      </c>
      <c r="D149" s="63" t="s">
        <v>246</v>
      </c>
      <c r="E149" s="63">
        <v>2</v>
      </c>
      <c r="F149" s="63">
        <v>2</v>
      </c>
      <c r="G149" s="63"/>
      <c r="H149" s="63"/>
      <c r="I149" s="63"/>
      <c r="J149" s="63"/>
      <c r="K149" s="71" t="str">
        <f t="shared" si="32"/>
        <v>002.002.---.---.---.---</v>
      </c>
      <c r="L149" s="71">
        <f t="shared" si="33"/>
        <v>1</v>
      </c>
      <c r="M149" s="71">
        <f t="shared" si="34"/>
        <v>2</v>
      </c>
      <c r="N149" s="71" t="b">
        <f t="shared" si="35"/>
        <v>0</v>
      </c>
      <c r="O149" s="71" t="b">
        <f t="shared" si="36"/>
        <v>1</v>
      </c>
      <c r="P149" s="71" t="b">
        <f t="shared" si="37"/>
        <v>1</v>
      </c>
      <c r="Q149" s="71" t="b">
        <f t="shared" si="38"/>
        <v>1</v>
      </c>
      <c r="R149" s="71" t="str">
        <f t="shared" si="39"/>
        <v>2.2</v>
      </c>
      <c r="AB149" s="63" t="s">
        <v>244</v>
      </c>
      <c r="AC149" s="63"/>
      <c r="AD149" s="63"/>
      <c r="AE149" s="63">
        <v>1</v>
      </c>
      <c r="AJ149" s="63"/>
      <c r="AK149" s="63"/>
      <c r="AN149" s="63"/>
      <c r="AO149" s="63"/>
    </row>
    <row r="150" spans="1:42" ht="18" customHeight="1">
      <c r="C150" s="63" t="s">
        <v>246</v>
      </c>
      <c r="D150" s="63" t="s">
        <v>246</v>
      </c>
      <c r="E150" s="63">
        <v>2</v>
      </c>
      <c r="F150" s="63">
        <v>2</v>
      </c>
      <c r="G150" s="63"/>
      <c r="H150" s="63"/>
      <c r="I150" s="63"/>
      <c r="J150" s="63">
        <v>1</v>
      </c>
      <c r="K150" s="71" t="str">
        <f t="shared" si="32"/>
        <v>002.002.---.---.---.001</v>
      </c>
      <c r="L150" s="71">
        <f t="shared" si="33"/>
        <v>1</v>
      </c>
      <c r="M150" s="71">
        <f t="shared" si="34"/>
        <v>2</v>
      </c>
      <c r="N150" s="71" t="b">
        <f t="shared" si="35"/>
        <v>1</v>
      </c>
      <c r="O150" s="71" t="b">
        <f t="shared" si="36"/>
        <v>1</v>
      </c>
      <c r="P150" s="71" t="b">
        <f t="shared" si="37"/>
        <v>1</v>
      </c>
      <c r="Q150" s="71" t="b">
        <f t="shared" si="38"/>
        <v>0</v>
      </c>
      <c r="R150" s="71" t="str">
        <f t="shared" si="39"/>
        <v>2.2.T1</v>
      </c>
      <c r="X150" s="60" t="s">
        <v>229</v>
      </c>
      <c r="AB150" s="63" t="s">
        <v>230</v>
      </c>
      <c r="AC150" s="63"/>
      <c r="AD150" s="63"/>
      <c r="AE150" s="63">
        <v>1</v>
      </c>
      <c r="AJ150" s="63"/>
      <c r="AK150" s="63"/>
      <c r="AN150" s="63"/>
      <c r="AO150" s="63"/>
    </row>
    <row r="151" spans="1:42" ht="18" customHeight="1">
      <c r="C151" s="63" t="s">
        <v>246</v>
      </c>
      <c r="D151" s="63" t="s">
        <v>246</v>
      </c>
      <c r="E151" s="63">
        <v>2</v>
      </c>
      <c r="F151" s="63">
        <v>2</v>
      </c>
      <c r="G151" s="63"/>
      <c r="H151" s="63"/>
      <c r="I151" s="63"/>
      <c r="J151" s="63">
        <v>2</v>
      </c>
      <c r="K151" s="71" t="str">
        <f t="shared" si="32"/>
        <v>002.002.---.---.---.002</v>
      </c>
      <c r="L151" s="71">
        <f t="shared" si="33"/>
        <v>1</v>
      </c>
      <c r="M151" s="71">
        <f t="shared" si="34"/>
        <v>2</v>
      </c>
      <c r="N151" s="71" t="b">
        <f t="shared" si="35"/>
        <v>1</v>
      </c>
      <c r="O151" s="71" t="b">
        <f t="shared" si="36"/>
        <v>0</v>
      </c>
      <c r="P151" s="71" t="b">
        <f t="shared" si="37"/>
        <v>1</v>
      </c>
      <c r="Q151" s="71" t="b">
        <f t="shared" si="38"/>
        <v>0</v>
      </c>
      <c r="R151" s="71" t="str">
        <f t="shared" si="39"/>
        <v>2.2.T2</v>
      </c>
      <c r="X151" s="60" t="s">
        <v>231</v>
      </c>
      <c r="AB151" s="63" t="s">
        <v>232</v>
      </c>
      <c r="AC151" s="63"/>
      <c r="AD151" s="63"/>
      <c r="AE151" s="63">
        <v>1</v>
      </c>
      <c r="AJ151" s="63"/>
      <c r="AK151" s="63"/>
      <c r="AN151" s="63"/>
      <c r="AO151" s="63"/>
    </row>
    <row r="152" spans="1:42" ht="18" customHeight="1">
      <c r="C152" s="63" t="s">
        <v>246</v>
      </c>
      <c r="D152" s="63" t="s">
        <v>246</v>
      </c>
      <c r="E152" s="63">
        <v>2</v>
      </c>
      <c r="F152" s="63">
        <v>2</v>
      </c>
      <c r="G152" s="63">
        <v>1</v>
      </c>
      <c r="H152" s="63"/>
      <c r="I152" s="63"/>
      <c r="J152" s="63"/>
      <c r="K152" s="71" t="str">
        <f t="shared" si="32"/>
        <v>002.002.001.---.---.---</v>
      </c>
      <c r="L152" s="71">
        <f t="shared" si="33"/>
        <v>1</v>
      </c>
      <c r="M152" s="71">
        <f t="shared" si="34"/>
        <v>3</v>
      </c>
      <c r="N152" s="71" t="b">
        <f t="shared" si="35"/>
        <v>0</v>
      </c>
      <c r="O152" s="71" t="b">
        <f t="shared" si="36"/>
        <v>1</v>
      </c>
      <c r="P152" s="71" t="b">
        <f t="shared" si="37"/>
        <v>1</v>
      </c>
      <c r="Q152" s="71" t="b">
        <f t="shared" si="38"/>
        <v>1</v>
      </c>
      <c r="R152" s="71" t="str">
        <f t="shared" si="39"/>
        <v>2.2.1</v>
      </c>
      <c r="U152" s="60" t="s">
        <v>233</v>
      </c>
      <c r="AB152" s="63" t="s">
        <v>244</v>
      </c>
      <c r="AC152" s="63"/>
      <c r="AD152" s="63"/>
      <c r="AE152" s="63">
        <v>1</v>
      </c>
      <c r="AJ152" s="63"/>
      <c r="AK152" s="63"/>
      <c r="AN152" s="63"/>
      <c r="AO152" s="63"/>
    </row>
    <row r="153" spans="1:42" ht="18" customHeight="1">
      <c r="C153" s="63" t="s">
        <v>246</v>
      </c>
      <c r="D153" s="63" t="s">
        <v>246</v>
      </c>
      <c r="E153" s="63">
        <v>2</v>
      </c>
      <c r="F153" s="63">
        <v>2</v>
      </c>
      <c r="G153" s="63">
        <v>1</v>
      </c>
      <c r="H153" s="63"/>
      <c r="I153" s="63"/>
      <c r="J153" s="63">
        <v>1</v>
      </c>
      <c r="K153" s="71" t="str">
        <f t="shared" si="32"/>
        <v>002.002.001.---.---.001</v>
      </c>
      <c r="L153" s="71">
        <f t="shared" si="33"/>
        <v>1</v>
      </c>
      <c r="M153" s="71">
        <f t="shared" si="34"/>
        <v>3</v>
      </c>
      <c r="N153" s="71" t="b">
        <f t="shared" si="35"/>
        <v>1</v>
      </c>
      <c r="O153" s="71" t="b">
        <f t="shared" si="36"/>
        <v>0</v>
      </c>
      <c r="P153" s="71" t="b">
        <f t="shared" si="37"/>
        <v>1</v>
      </c>
      <c r="Q153" s="71" t="b">
        <f t="shared" si="38"/>
        <v>0</v>
      </c>
      <c r="R153" s="71" t="str">
        <f t="shared" si="39"/>
        <v>2.2.1.T1</v>
      </c>
      <c r="X153" s="60" t="s">
        <v>234</v>
      </c>
      <c r="AB153" s="63" t="s">
        <v>235</v>
      </c>
      <c r="AC153" s="63"/>
      <c r="AD153" s="63"/>
      <c r="AE153" s="63">
        <v>1</v>
      </c>
      <c r="AJ153" s="63"/>
      <c r="AK153" s="63"/>
      <c r="AN153" s="63"/>
      <c r="AO153" s="63"/>
    </row>
    <row r="154" spans="1:42" ht="18" customHeight="1">
      <c r="C154" s="63" t="s">
        <v>246</v>
      </c>
      <c r="D154" s="63" t="s">
        <v>246</v>
      </c>
      <c r="E154" s="63">
        <v>2</v>
      </c>
      <c r="F154" s="63">
        <v>2</v>
      </c>
      <c r="G154" s="63">
        <v>1</v>
      </c>
      <c r="H154" s="63"/>
      <c r="I154" s="63"/>
      <c r="J154" s="63">
        <v>2</v>
      </c>
      <c r="K154" s="71" t="str">
        <f t="shared" si="32"/>
        <v>002.002.001.---.---.002</v>
      </c>
      <c r="L154" s="71">
        <f t="shared" si="33"/>
        <v>1</v>
      </c>
      <c r="M154" s="71">
        <f t="shared" si="34"/>
        <v>3</v>
      </c>
      <c r="N154" s="71" t="b">
        <f t="shared" si="35"/>
        <v>1</v>
      </c>
      <c r="O154" s="71" t="b">
        <f t="shared" si="36"/>
        <v>1</v>
      </c>
      <c r="P154" s="71" t="b">
        <f t="shared" si="37"/>
        <v>1</v>
      </c>
      <c r="Q154" s="71" t="b">
        <f t="shared" si="38"/>
        <v>0</v>
      </c>
      <c r="R154" s="71" t="str">
        <f t="shared" si="39"/>
        <v>2.2.1.T2</v>
      </c>
      <c r="X154" s="60" t="s">
        <v>236</v>
      </c>
      <c r="AB154" s="63" t="s">
        <v>237</v>
      </c>
      <c r="AC154" s="63"/>
      <c r="AD154" s="63"/>
      <c r="AE154" s="63">
        <v>1</v>
      </c>
      <c r="AJ154" s="63"/>
      <c r="AK154" s="63"/>
      <c r="AN154" s="63"/>
      <c r="AO154" s="63"/>
    </row>
    <row r="155" spans="1:42" ht="18" customHeight="1">
      <c r="C155" s="63" t="s">
        <v>246</v>
      </c>
      <c r="D155" s="63" t="s">
        <v>246</v>
      </c>
      <c r="E155" s="63">
        <v>2</v>
      </c>
      <c r="F155" s="63">
        <v>2</v>
      </c>
      <c r="G155" s="63">
        <v>1</v>
      </c>
      <c r="H155" s="63">
        <v>1</v>
      </c>
      <c r="I155" s="63"/>
      <c r="J155" s="63"/>
      <c r="K155" s="71" t="str">
        <f t="shared" si="32"/>
        <v>002.002.001.001.---.---</v>
      </c>
      <c r="L155" s="71">
        <f t="shared" si="33"/>
        <v>1</v>
      </c>
      <c r="M155" s="71">
        <f t="shared" si="34"/>
        <v>4</v>
      </c>
      <c r="N155" s="71" t="b">
        <f t="shared" si="35"/>
        <v>0</v>
      </c>
      <c r="O155" s="71" t="b">
        <f t="shared" si="36"/>
        <v>1</v>
      </c>
      <c r="P155" s="71" t="b">
        <f t="shared" si="37"/>
        <v>1</v>
      </c>
      <c r="Q155" s="71" t="b">
        <f t="shared" si="38"/>
        <v>1</v>
      </c>
      <c r="R155" s="71" t="str">
        <f t="shared" si="39"/>
        <v>2.2.1.1</v>
      </c>
      <c r="AB155" s="63" t="s">
        <v>244</v>
      </c>
      <c r="AC155" s="63"/>
      <c r="AD155" s="63"/>
      <c r="AE155" s="63">
        <v>1</v>
      </c>
      <c r="AJ155" s="63"/>
      <c r="AK155" s="63"/>
      <c r="AN155" s="63"/>
      <c r="AO155" s="63"/>
    </row>
    <row r="156" spans="1:42" ht="18" customHeight="1">
      <c r="C156" s="63" t="s">
        <v>246</v>
      </c>
      <c r="D156" s="63" t="s">
        <v>246</v>
      </c>
      <c r="E156" s="63">
        <v>2</v>
      </c>
      <c r="F156" s="63">
        <v>2</v>
      </c>
      <c r="G156" s="63">
        <v>1</v>
      </c>
      <c r="H156" s="63">
        <v>1</v>
      </c>
      <c r="I156" s="63"/>
      <c r="J156" s="63">
        <v>1</v>
      </c>
      <c r="K156" s="71" t="str">
        <f t="shared" si="32"/>
        <v>002.002.001.001.---.001</v>
      </c>
      <c r="L156" s="71">
        <f t="shared" si="33"/>
        <v>1</v>
      </c>
      <c r="M156" s="71">
        <f t="shared" si="34"/>
        <v>4</v>
      </c>
      <c r="N156" s="71" t="b">
        <f t="shared" si="35"/>
        <v>1</v>
      </c>
      <c r="O156" s="71" t="b">
        <f t="shared" si="36"/>
        <v>1</v>
      </c>
      <c r="P156" s="71" t="b">
        <f t="shared" si="37"/>
        <v>1</v>
      </c>
      <c r="Q156" s="71" t="b">
        <f t="shared" si="38"/>
        <v>0</v>
      </c>
      <c r="R156" s="71" t="str">
        <f t="shared" si="39"/>
        <v>2.2.1.1.T1</v>
      </c>
      <c r="V156" s="60" t="s">
        <v>238</v>
      </c>
      <c r="X156" s="60" t="s">
        <v>239</v>
      </c>
      <c r="AB156" s="63" t="s">
        <v>203</v>
      </c>
      <c r="AC156" s="63"/>
      <c r="AD156" s="63"/>
      <c r="AE156" s="63">
        <v>1</v>
      </c>
      <c r="AJ156" s="63"/>
      <c r="AK156" s="63"/>
      <c r="AN156" s="63"/>
      <c r="AO156" s="63"/>
    </row>
    <row r="157" spans="1:42" ht="18" customHeight="1">
      <c r="C157" s="63" t="s">
        <v>246</v>
      </c>
      <c r="D157" s="63" t="s">
        <v>246</v>
      </c>
      <c r="E157" s="63">
        <v>2</v>
      </c>
      <c r="F157" s="63">
        <v>2</v>
      </c>
      <c r="G157" s="63">
        <v>1</v>
      </c>
      <c r="H157" s="63">
        <v>1</v>
      </c>
      <c r="I157" s="63"/>
      <c r="J157" s="63">
        <v>2</v>
      </c>
      <c r="K157" s="71" t="str">
        <f t="shared" si="32"/>
        <v>002.002.001.001.---.002</v>
      </c>
      <c r="L157" s="71">
        <f t="shared" si="33"/>
        <v>1</v>
      </c>
      <c r="M157" s="71">
        <f t="shared" si="34"/>
        <v>4</v>
      </c>
      <c r="N157" s="71" t="b">
        <f t="shared" si="35"/>
        <v>1</v>
      </c>
      <c r="O157" s="71" t="b">
        <f t="shared" si="36"/>
        <v>1</v>
      </c>
      <c r="P157" s="71" t="b">
        <f t="shared" si="37"/>
        <v>1</v>
      </c>
      <c r="Q157" s="71" t="b">
        <f t="shared" si="38"/>
        <v>0</v>
      </c>
      <c r="R157" s="71" t="str">
        <f t="shared" si="39"/>
        <v>2.2.1.1.T2</v>
      </c>
      <c r="X157" s="60" t="s">
        <v>240</v>
      </c>
      <c r="AB157" s="63" t="s">
        <v>241</v>
      </c>
      <c r="AC157" s="63"/>
      <c r="AD157" s="63"/>
      <c r="AE157" s="63">
        <v>1</v>
      </c>
      <c r="AJ157" s="63"/>
      <c r="AK157" s="63"/>
      <c r="AN157" s="63"/>
      <c r="AO157" s="63"/>
    </row>
    <row r="158" spans="1:42" ht="18" customHeight="1">
      <c r="C158" s="63" t="s">
        <v>246</v>
      </c>
      <c r="D158" s="63" t="s">
        <v>246</v>
      </c>
      <c r="E158" s="63"/>
      <c r="F158" s="63"/>
      <c r="G158" s="63"/>
      <c r="H158" s="63"/>
      <c r="I158" s="63"/>
      <c r="J158" s="63"/>
      <c r="K158" s="71" t="str">
        <f t="shared" si="32"/>
        <v>XXX.XXX.XXX.XXX.XXX.XXX</v>
      </c>
      <c r="L158" s="71">
        <f t="shared" si="33"/>
        <v>1</v>
      </c>
      <c r="M158" s="71">
        <f t="shared" si="34"/>
        <v>0</v>
      </c>
      <c r="N158" s="71" t="b">
        <f t="shared" si="35"/>
        <v>0</v>
      </c>
      <c r="O158" s="71" t="b">
        <f t="shared" si="36"/>
        <v>1</v>
      </c>
      <c r="P158" s="71" t="b">
        <f t="shared" si="37"/>
        <v>0</v>
      </c>
      <c r="Q158" s="71" t="b">
        <f t="shared" si="38"/>
        <v>0</v>
      </c>
      <c r="R158" s="71" t="str">
        <f t="shared" si="39"/>
        <v/>
      </c>
      <c r="AB158" s="63" t="s">
        <v>244</v>
      </c>
      <c r="AC158" s="63"/>
      <c r="AD158" s="63"/>
      <c r="AE158" s="63">
        <v>1</v>
      </c>
      <c r="AJ158" s="63"/>
      <c r="AK158" s="63"/>
      <c r="AN158" s="63"/>
      <c r="AO158" s="63"/>
    </row>
    <row r="159" spans="1:42" ht="18" customHeight="1">
      <c r="A159" s="60" t="s">
        <v>218</v>
      </c>
      <c r="C159" s="69"/>
      <c r="D159" s="69"/>
      <c r="E159" s="69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 t="s">
        <v>202</v>
      </c>
      <c r="AA159" s="69" t="s">
        <v>202</v>
      </c>
      <c r="AB159" s="69"/>
      <c r="AC159" s="69" t="s">
        <v>219</v>
      </c>
      <c r="AD159" s="69" t="s">
        <v>219</v>
      </c>
      <c r="AE159" s="69"/>
      <c r="AF159" s="69"/>
      <c r="AG159" s="69"/>
      <c r="AH159" s="69"/>
      <c r="AI159" s="69" t="s">
        <v>220</v>
      </c>
      <c r="AJ159" s="69"/>
      <c r="AK159" s="69"/>
      <c r="AL159" s="69" t="s">
        <v>220</v>
      </c>
      <c r="AM159" s="69" t="s">
        <v>220</v>
      </c>
      <c r="AN159" s="69"/>
      <c r="AO159" s="69"/>
      <c r="AP159" s="69"/>
    </row>
  </sheetData>
  <phoneticPr fontId="1"/>
  <conditionalFormatting sqref="C7:AP7">
    <cfRule type="expression" dxfId="46" priority="1">
      <formula>TRUE</formula>
    </cfRule>
  </conditionalFormatting>
  <conditionalFormatting sqref="C159:AP159">
    <cfRule type="expression" dxfId="45" priority="2">
      <formula>TRUE</formula>
    </cfRule>
  </conditionalFormatting>
  <conditionalFormatting sqref="C5:AP5">
    <cfRule type="expression" dxfId="44" priority="3">
      <formula>TRUE</formula>
    </cfRule>
  </conditionalFormatting>
  <conditionalFormatting sqref="C5:AP6">
    <cfRule type="expression" dxfId="43" priority="4">
      <formula>TRUE</formula>
    </cfRule>
  </conditionalFormatting>
  <conditionalFormatting sqref="C3:AP3">
    <cfRule type="expression" dxfId="42" priority="5">
      <formula>TRUE</formula>
    </cfRule>
  </conditionalFormatting>
  <conditionalFormatting sqref="C4:AP4">
    <cfRule type="expression" dxfId="41" priority="6">
      <formula>TRUE</formula>
    </cfRule>
  </conditionalFormatting>
  <conditionalFormatting sqref="C5:C6">
    <cfRule type="expression" dxfId="40" priority="7">
      <formula>TRUE</formula>
    </cfRule>
  </conditionalFormatting>
  <conditionalFormatting sqref="E5:E6">
    <cfRule type="expression" dxfId="39" priority="8">
      <formula>TRUE</formula>
    </cfRule>
  </conditionalFormatting>
  <conditionalFormatting sqref="J5:J6">
    <cfRule type="expression" dxfId="38" priority="9">
      <formula>TRUE</formula>
    </cfRule>
  </conditionalFormatting>
  <conditionalFormatting sqref="AB5:AC6">
    <cfRule type="expression" dxfId="37" priority="10">
      <formula>TRUE</formula>
    </cfRule>
  </conditionalFormatting>
  <conditionalFormatting sqref="AF5:AH6">
    <cfRule type="expression" dxfId="36" priority="11">
      <formula>TRUE</formula>
    </cfRule>
  </conditionalFormatting>
  <conditionalFormatting sqref="AL5:AL6">
    <cfRule type="expression" dxfId="35" priority="12">
      <formula>TRUE</formula>
    </cfRule>
  </conditionalFormatting>
  <conditionalFormatting sqref="AP5:AP6">
    <cfRule type="expression" dxfId="34" priority="13">
      <formula>TRUE</formula>
    </cfRule>
  </conditionalFormatting>
  <conditionalFormatting sqref="AC6:AE6">
    <cfRule type="expression" dxfId="33" priority="14">
      <formula>TRUE</formula>
    </cfRule>
  </conditionalFormatting>
  <conditionalFormatting sqref="AI6:AO6">
    <cfRule type="expression" dxfId="32" priority="15">
      <formula>TRUE</formula>
    </cfRule>
  </conditionalFormatting>
  <conditionalFormatting sqref="X8:X158">
    <cfRule type="expression" dxfId="31" priority="16">
      <formula>AND($X8="",$N8=TRUE)</formula>
    </cfRule>
  </conditionalFormatting>
  <conditionalFormatting sqref="S8:S158">
    <cfRule type="expression" dxfId="30" priority="17">
      <formula>AND($M8=1,$S8="",$N8=FALSE)</formula>
    </cfRule>
  </conditionalFormatting>
  <conditionalFormatting sqref="T8:T158">
    <cfRule type="expression" dxfId="29" priority="18">
      <formula>AND($M8=2,$T8="",$N8=FALSE)</formula>
    </cfRule>
  </conditionalFormatting>
  <conditionalFormatting sqref="U8:U158">
    <cfRule type="expression" dxfId="28" priority="19">
      <formula>AND($M8=3,$U8="",$N8=FALSE)</formula>
    </cfRule>
  </conditionalFormatting>
  <conditionalFormatting sqref="V8:V158">
    <cfRule type="expression" dxfId="27" priority="20">
      <formula>AND($M8=4,$V8="",$N8=FALSE)</formula>
    </cfRule>
  </conditionalFormatting>
  <conditionalFormatting sqref="W8:W158">
    <cfRule type="expression" dxfId="26" priority="21">
      <formula>AND($M8=5,$W8="",$N8=FALSE)</formula>
    </cfRule>
  </conditionalFormatting>
  <conditionalFormatting sqref="R8:AP158">
    <cfRule type="expression" dxfId="25" priority="22">
      <formula>AND($N8=TRUE,$AB8="却下")</formula>
    </cfRule>
  </conditionalFormatting>
  <conditionalFormatting sqref="R8:AP158">
    <cfRule type="expression" dxfId="24" priority="23">
      <formula>AND($N8=TRUE,$AB8="棚上げ")</formula>
    </cfRule>
  </conditionalFormatting>
  <conditionalFormatting sqref="R8:AP158">
    <cfRule type="expression" dxfId="23" priority="24">
      <formula>AND($N8=TRUE,$AB8="移管済")</formula>
    </cfRule>
  </conditionalFormatting>
  <conditionalFormatting sqref="R8:AP158">
    <cfRule type="expression" dxfId="22" priority="25">
      <formula>AND($N8=TRUE,$AB8="削除")</formula>
    </cfRule>
  </conditionalFormatting>
  <conditionalFormatting sqref="AD8:AD158">
    <cfRule type="expression" dxfId="21" priority="26">
      <formula>AND($AD8="",$N8=TRUE)</formula>
    </cfRule>
  </conditionalFormatting>
  <conditionalFormatting sqref="R8:AP158">
    <cfRule type="expression" dxfId="20" priority="27">
      <formula>AND($N8=TRUE,$AB8="完了")</formula>
    </cfRule>
  </conditionalFormatting>
  <conditionalFormatting sqref="R8:AP158">
    <cfRule type="expression" dxfId="19" priority="28">
      <formula>AND($N8=TRUE,$AB8="保留")</formula>
    </cfRule>
  </conditionalFormatting>
  <conditionalFormatting sqref="R8:AP158">
    <cfRule type="expression" dxfId="18" priority="29">
      <formula>AND($N8=TRUE,$AB8="着手中")</formula>
    </cfRule>
  </conditionalFormatting>
  <conditionalFormatting sqref="R8:AP158">
    <cfRule type="expression" dxfId="17" priority="30">
      <formula>AND($N8=TRUE,$AB8="未着手")</formula>
    </cfRule>
  </conditionalFormatting>
  <conditionalFormatting sqref="E8:E158">
    <cfRule type="expression" dxfId="16" priority="31">
      <formula>$M8&gt;=1</formula>
    </cfRule>
  </conditionalFormatting>
  <conditionalFormatting sqref="F8:F158">
    <cfRule type="expression" dxfId="15" priority="32">
      <formula>$M8&gt;=2</formula>
    </cfRule>
  </conditionalFormatting>
  <conditionalFormatting sqref="G8:G158">
    <cfRule type="expression" dxfId="14" priority="33">
      <formula>$M8&gt;=3</formula>
    </cfRule>
  </conditionalFormatting>
  <conditionalFormatting sqref="H8:H158">
    <cfRule type="expression" dxfId="13" priority="34">
      <formula>$M8&gt;=4</formula>
    </cfRule>
  </conditionalFormatting>
  <conditionalFormatting sqref="I8:I158">
    <cfRule type="expression" dxfId="12" priority="35">
      <formula>$M8&gt;=5</formula>
    </cfRule>
  </conditionalFormatting>
  <conditionalFormatting sqref="C8:AP158">
    <cfRule type="expression" dxfId="11" priority="36">
      <formula>$N8=FALSE</formula>
    </cfRule>
  </conditionalFormatting>
  <conditionalFormatting sqref="C8:AP158">
    <cfRule type="expression" dxfId="10" priority="37">
      <formula>$N8=TRUE</formula>
    </cfRule>
  </conditionalFormatting>
  <conditionalFormatting sqref="C8:AP158">
    <cfRule type="expression" dxfId="9" priority="38">
      <formula>AND($M8=1,$N8=FALSE)</formula>
    </cfRule>
  </conditionalFormatting>
  <conditionalFormatting sqref="C8:AP158">
    <cfRule type="expression" dxfId="8" priority="39">
      <formula>AND($M8=2,$N8=FALSE)</formula>
    </cfRule>
  </conditionalFormatting>
  <conditionalFormatting sqref="C8:AP158">
    <cfRule type="expression" dxfId="7" priority="40">
      <formula>AND($M8=3,$N8=FALSE)</formula>
    </cfRule>
  </conditionalFormatting>
  <conditionalFormatting sqref="C8:AP158">
    <cfRule type="expression" dxfId="6" priority="41">
      <formula>AND($M8=4,$N8=FALSE)</formula>
    </cfRule>
  </conditionalFormatting>
  <conditionalFormatting sqref="C8:AP158">
    <cfRule type="expression" dxfId="5" priority="42">
      <formula>AND($M8=5,$N8=FALSE)</formula>
    </cfRule>
  </conditionalFormatting>
  <conditionalFormatting sqref="C8:E158">
    <cfRule type="expression" dxfId="4" priority="43">
      <formula>TRUE</formula>
    </cfRule>
  </conditionalFormatting>
  <conditionalFormatting sqref="F8:I158">
    <cfRule type="expression" dxfId="3" priority="44">
      <formula>TRUE</formula>
    </cfRule>
  </conditionalFormatting>
  <conditionalFormatting sqref="J8:J158">
    <cfRule type="expression" dxfId="2" priority="45">
      <formula>TRUE</formula>
    </cfRule>
  </conditionalFormatting>
  <conditionalFormatting sqref="K8:AA158">
    <cfRule type="expression" dxfId="1" priority="46">
      <formula>TRUE</formula>
    </cfRule>
  </conditionalFormatting>
  <conditionalFormatting sqref="AB8:AP158">
    <cfRule type="expression" dxfId="0" priority="47">
      <formula>TRUE</formula>
    </cfRule>
  </conditionalFormatting>
  <dataValidations count="14">
    <dataValidation type="list" allowBlank="1" showInputMessage="1" showErrorMessage="1" sqref="AB8:AB158" xr:uid="{A448270A-1ACA-446B-82D7-68345E58C4AC}">
      <formula1>"-,未着手,着手中,保留,移管済,棚上げ,却下,完了,削除"</formula1>
    </dataValidation>
    <dataValidation type="list" allowBlank="1" showInputMessage="1" showErrorMessage="1" sqref="AF8:AF158" xr:uid="{F4FEB53F-4EDA-4FD9-8DFE-95111C07343D}">
      <formula1>"-,A社,B社,C社"</formula1>
    </dataValidation>
    <dataValidation type="list" allowBlank="1" showInputMessage="1" showErrorMessage="1" sqref="AG8:AG158" xr:uid="{9DB31DB2-8501-4D5D-BBAB-B77F5F34C121}">
      <formula1>"-,佐藤一郎,鈴木二郎,高橋三郎"</formula1>
    </dataValidation>
    <dataValidation type="whole" allowBlank="1" showInputMessage="1" showErrorMessage="1" errorTitle="入力エラー" error="1～999 の整数のみ入力可能です。" promptTitle="1～999 の整数" prompt="1～999 の整数を入力してください（空白も可）" sqref="E8:J158" xr:uid="{02B27232-8761-4B49-B91A-5F9E633E30CC}">
      <formula1>1</formula1>
      <formula2>999</formula2>
    </dataValidation>
    <dataValidation type="whole" allowBlank="1" showErrorMessage="1" errorTitle="入力エラー" error="0～5 の整数のみ入力可能です。" sqref="M8:M158" xr:uid="{36BB5F78-640D-4160-8A61-2D6115A9B1BB}">
      <formula1>0</formula1>
      <formula2>5</formula2>
    </dataValidation>
    <dataValidation type="custom" allowBlank="1" showDropDown="1" showErrorMessage="1" errorTitle="入力エラー" error="TRUE または FALSE のみ入力可能です。" sqref="N8:Q158" xr:uid="{4D587C56-71DD-4AED-8510-4382D65C5FE6}">
      <formula1>OR(ISBLANK(N8),N8=TRUE,N8=FALSE)</formula1>
    </dataValidation>
    <dataValidation type="custom" allowBlank="1" showDropDown="1" showErrorMessage="1" errorTitle="入力エラー" error="0以上の整数のみ入力可能です。" sqref="Z8:Z158" xr:uid="{76B3F09A-2D9D-4240-8EA6-41CBCFA09EF6}">
      <formula1>OR(ISBLANK(Z8),AND(ISNUMBER(Z8),Z8&gt;=0,INT(Z8)=Z8))</formula1>
    </dataValidation>
    <dataValidation type="custom" allowBlank="1" showDropDown="1" showErrorMessage="1" errorTitle="入力エラー" error="0以上の整数のみ入力可能です。" sqref="AA8:AA158" xr:uid="{1B99FFAD-00A6-43F2-8B82-90936A90E338}">
      <formula1>OR(ISBLANK(AA8),AND(ISNUMBER(AA8),AA8&gt;=0,INT(AA8)=AA8))</formula1>
    </dataValidation>
    <dataValidation type="custom" allowBlank="1" showDropDown="1" showInputMessage="1" showErrorMessage="1" errorTitle="入力エラー" error="0～100%の間の数値のみ入力可能です。" promptTitle="0～100% の値のみ" prompt="0～100%（= 0～1）の値を入力してください（空白可）" sqref="AC8:AC158" xr:uid="{A7916883-6057-401A-BDB7-FF9A9D744B17}">
      <formula1>OR(ISBLANK(AC8),AND(ISNUMBER(AC8),AC8&gt;=0,AC8&lt;=1))</formula1>
    </dataValidation>
    <dataValidation type="custom" allowBlank="1" showDropDown="1" showInputMessage="1" showErrorMessage="1" errorTitle="入力エラー" error="0～100%の間の数値のみ入力可能です。" promptTitle="0～100% の値のみ" prompt="0～100%（= 0～1）の値を入力してください（空白可）" sqref="AD8:AD158" xr:uid="{2093469F-58C9-4648-9FBF-14D18EB7D3A7}">
      <formula1>OR(ISBLANK(AD8),AND(ISNUMBER(AD8),AD8&gt;=0,AD8&lt;=1))</formula1>
    </dataValidation>
    <dataValidation type="custom" allowBlank="1" showDropDown="1" showInputMessage="1" showErrorMessage="1" errorTitle="入力エラー" error="1以上の整数のみ入力可能です。" promptTitle="1以上の整数のみ" prompt="1以上の整数を入力してください（空白可）" sqref="AE8:AE158" xr:uid="{06F6D8D7-C4C4-48EE-9BAE-D2B9A6849398}">
      <formula1>OR(ISBLANK(AE8),AND(ISNUMBER(AE8),AE8&gt;=1,INT(AE8)=AE8))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I8:AI158" xr:uid="{71F1F4E9-8E75-4783-A295-4F5C6F8DC239}">
      <formula1>OR(ISBLANK(AI8),AND(ISNUMBER(AI8),AI8&gt;=0))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L8:AL158" xr:uid="{C1968D7D-D53F-4AC2-8B1B-379781C04E0B}">
      <formula1>OR(ISBLANK(AL8),AND(ISNUMBER(AL8),AL8&gt;=0))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M8:AM158" xr:uid="{FF05EA1F-ACCD-4B15-A5B0-7AC0FFB44816}">
      <formula1>OR(ISBLANK(AM8),AND(ISNUMBER(AM8),AM8&gt;=0))</formula1>
    </dataValidation>
  </dataValidations>
  <hyperlinks>
    <hyperlink ref="AP2" r:id="rId1" xr:uid="{246EEC5A-6A2F-4D37-A046-F4E2B965919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6" r:id="rId4" name="Execute1ComboBox">
              <controlPr defaultSize="0" autoFill="0" autoPict="0">
                <anchor mov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24</xdr:col>
                    <xdr:colOff>295275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5" name="Execute1Button">
              <controlPr defaultSize="0" print="0" autoFill="0" autoPict="0" macro="[0]!wbslib.Exe1ButtonClick">
                <anchor moveWithCells="1" sizeWithCells="1">
                  <from>
                    <xdr:col>24</xdr:col>
                    <xdr:colOff>295275</xdr:colOff>
                    <xdr:row>2</xdr:row>
                    <xdr:rowOff>0</xdr:rowOff>
                  </from>
                  <to>
                    <xdr:col>24</xdr:col>
                    <xdr:colOff>809625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6" name="Reset1Button">
              <controlPr defaultSize="0" print="0" autoFill="0" autoPict="0" macro="[0]!wbslib.Reset1ButtonClick">
                <anchor moveWithCells="1" sizeWithCells="1">
                  <from>
                    <xdr:col>24</xdr:col>
                    <xdr:colOff>809625</xdr:colOff>
                    <xdr:row>2</xdr:row>
                    <xdr:rowOff>0</xdr:rowOff>
                  </from>
                  <to>
                    <xdr:col>24</xdr:col>
                    <xdr:colOff>1504950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7" name="Execute2ComboBox">
              <controlPr defaultSize="0" autoFill="0" autoPict="0">
                <anchor mov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24</xdr:col>
                    <xdr:colOff>3476625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8" name="Execute2Button">
              <controlPr defaultSize="0" print="0" autoFill="0" autoPict="0" macro="[0]!wbslib.Exe2ButtonClick">
                <anchor moveWithCells="1" sizeWithCells="1">
                  <from>
                    <xdr:col>24</xdr:col>
                    <xdr:colOff>3476625</xdr:colOff>
                    <xdr:row>3</xdr:row>
                    <xdr:rowOff>0</xdr:rowOff>
                  </from>
                  <to>
                    <xdr:col>24</xdr:col>
                    <xdr:colOff>3981450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9" name="Reset2Button">
              <controlPr defaultSize="0" print="0" autoFill="0" autoPict="0" macro="[0]!wbslib.Reset2ButtonClick">
                <anchor moveWithCells="1" sizeWithCells="1">
                  <from>
                    <xdr:col>24</xdr:col>
                    <xdr:colOff>3981450</xdr:colOff>
                    <xdr:row>3</xdr:row>
                    <xdr:rowOff>0</xdr:rowOff>
                  </from>
                  <to>
                    <xdr:col>25</xdr:col>
                    <xdr:colOff>57150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76"/>
  <sheetViews>
    <sheetView zoomScale="90" zoomScaleNormal="90" workbookViewId="0">
      <selection activeCell="AI3" sqref="AI3"/>
    </sheetView>
  </sheetViews>
  <sheetFormatPr defaultRowHeight="15" customHeight="1"/>
  <cols>
    <col min="1" max="1" width="0.125" style="1" customWidth="1"/>
    <col min="2" max="4" width="3.5" style="1" customWidth="1"/>
    <col min="5" max="10" width="3.625" style="1" customWidth="1"/>
    <col min="11" max="11" width="17.125" style="1" hidden="1" customWidth="1"/>
    <col min="12" max="12" width="3.5" style="1" customWidth="1"/>
    <col min="13" max="18" width="2.125" style="1" customWidth="1"/>
    <col min="19" max="19" width="60.5" style="1" customWidth="1"/>
    <col min="20" max="20" width="5.625" style="1" customWidth="1"/>
    <col min="21" max="21" width="8.125" style="1" customWidth="1"/>
    <col min="22" max="22" width="8" style="1" customWidth="1"/>
    <col min="23" max="23" width="5.625" style="1" customWidth="1"/>
    <col min="24" max="24" width="8.625" style="1" customWidth="1"/>
    <col min="25" max="27" width="12.625" style="1" customWidth="1"/>
    <col min="28" max="28" width="8.625" style="1" customWidth="1"/>
    <col min="29" max="30" width="10.625" style="1" customWidth="1"/>
    <col min="31" max="32" width="8.625" style="1" customWidth="1"/>
    <col min="33" max="34" width="10.625" style="1" customWidth="1"/>
    <col min="35" max="35" width="40.25" style="1" customWidth="1"/>
    <col min="36" max="36" width="2.625" style="1" customWidth="1"/>
    <col min="37" max="38" width="12.625" style="33" customWidth="1"/>
    <col min="39" max="16384" width="9" style="1"/>
  </cols>
  <sheetData>
    <row r="1" spans="1:38" ht="3.75" customHeight="1">
      <c r="A1" s="3"/>
      <c r="E1" s="2"/>
    </row>
    <row r="2" spans="1:38" ht="30" customHeight="1">
      <c r="B2" s="44" t="s">
        <v>26</v>
      </c>
    </row>
    <row r="3" spans="1:38" ht="18" customHeight="1">
      <c r="AI3" s="39" t="s">
        <v>46</v>
      </c>
    </row>
    <row r="4" spans="1:38" s="4" customFormat="1" ht="17.25" customHeight="1">
      <c r="C4" s="19" t="s">
        <v>27</v>
      </c>
      <c r="D4" s="20" t="s">
        <v>28</v>
      </c>
      <c r="E4" s="19" t="s">
        <v>0</v>
      </c>
      <c r="F4" s="20" t="s">
        <v>1</v>
      </c>
      <c r="G4" s="20" t="s">
        <v>2</v>
      </c>
      <c r="H4" s="20" t="s">
        <v>19</v>
      </c>
      <c r="I4" s="20" t="s">
        <v>20</v>
      </c>
      <c r="J4" s="22" t="s">
        <v>13</v>
      </c>
      <c r="K4" s="19" t="s">
        <v>18</v>
      </c>
      <c r="L4" s="20" t="s">
        <v>16</v>
      </c>
      <c r="M4" s="20" t="s">
        <v>17</v>
      </c>
      <c r="N4" s="20" t="s">
        <v>1</v>
      </c>
      <c r="O4" s="20" t="s">
        <v>2</v>
      </c>
      <c r="P4" s="20" t="s">
        <v>19</v>
      </c>
      <c r="Q4" s="20" t="s">
        <v>20</v>
      </c>
      <c r="R4" s="23" t="s">
        <v>13</v>
      </c>
      <c r="S4" s="24"/>
      <c r="T4" s="24"/>
      <c r="U4" s="10" t="s">
        <v>30</v>
      </c>
      <c r="V4" s="13" t="s">
        <v>31</v>
      </c>
      <c r="W4" s="25"/>
      <c r="X4" s="11"/>
      <c r="Y4" s="11"/>
      <c r="Z4" s="12"/>
      <c r="AA4" s="9"/>
      <c r="AB4" s="13" t="s">
        <v>10</v>
      </c>
      <c r="AC4" s="14"/>
      <c r="AD4" s="15"/>
      <c r="AE4" s="13" t="s">
        <v>11</v>
      </c>
      <c r="AF4" s="14"/>
      <c r="AG4" s="14"/>
      <c r="AH4" s="15"/>
      <c r="AI4" s="9"/>
      <c r="AK4" s="32" t="s">
        <v>34</v>
      </c>
      <c r="AL4" s="34"/>
    </row>
    <row r="5" spans="1:38" s="4" customFormat="1" ht="17.25" customHeight="1">
      <c r="A5" s="43" t="s">
        <v>15</v>
      </c>
      <c r="C5" s="56" t="s">
        <v>69</v>
      </c>
      <c r="D5" s="42"/>
      <c r="E5" s="45" t="s">
        <v>3</v>
      </c>
      <c r="F5" s="17"/>
      <c r="G5" s="17"/>
      <c r="H5" s="17"/>
      <c r="I5" s="17"/>
      <c r="J5" s="21"/>
      <c r="K5" s="16" t="s">
        <v>4</v>
      </c>
      <c r="L5" s="46" t="s">
        <v>29</v>
      </c>
      <c r="M5" s="17"/>
      <c r="N5" s="17"/>
      <c r="O5" s="17"/>
      <c r="P5" s="17"/>
      <c r="Q5" s="17"/>
      <c r="R5" s="17"/>
      <c r="S5" s="30"/>
      <c r="T5" s="55" t="s">
        <v>76</v>
      </c>
      <c r="U5" s="47" t="s">
        <v>24</v>
      </c>
      <c r="V5" s="47" t="s">
        <v>32</v>
      </c>
      <c r="W5" s="48" t="s">
        <v>25</v>
      </c>
      <c r="X5" s="49" t="s">
        <v>6</v>
      </c>
      <c r="Y5" s="49" t="s">
        <v>33</v>
      </c>
      <c r="Z5" s="50" t="s">
        <v>5</v>
      </c>
      <c r="AA5" s="51" t="s">
        <v>7</v>
      </c>
      <c r="AB5" s="52" t="s">
        <v>72</v>
      </c>
      <c r="AC5" s="47" t="s">
        <v>8</v>
      </c>
      <c r="AD5" s="53" t="s">
        <v>9</v>
      </c>
      <c r="AE5" s="52" t="s">
        <v>73</v>
      </c>
      <c r="AF5" s="52" t="s">
        <v>74</v>
      </c>
      <c r="AG5" s="47" t="s">
        <v>8</v>
      </c>
      <c r="AH5" s="53" t="s">
        <v>9</v>
      </c>
      <c r="AI5" s="54" t="s">
        <v>12</v>
      </c>
      <c r="AK5" s="31" t="s">
        <v>33</v>
      </c>
      <c r="AL5" s="31" t="s">
        <v>5</v>
      </c>
    </row>
    <row r="6" spans="1:38" s="4" customFormat="1" ht="18" customHeight="1">
      <c r="B6" s="5"/>
      <c r="C6" s="6" t="s">
        <v>68</v>
      </c>
      <c r="D6" s="6" t="s">
        <v>68</v>
      </c>
      <c r="E6" s="6">
        <v>1</v>
      </c>
      <c r="F6" s="6"/>
      <c r="G6" s="6"/>
      <c r="H6" s="6"/>
      <c r="I6" s="6"/>
      <c r="J6" s="6"/>
      <c r="K6" s="41" t="s">
        <v>125</v>
      </c>
      <c r="L6" s="40" t="s">
        <v>77</v>
      </c>
      <c r="M6" s="7" t="s">
        <v>65</v>
      </c>
      <c r="N6" s="7"/>
      <c r="O6" s="7"/>
      <c r="P6" s="7"/>
      <c r="Q6" s="7"/>
      <c r="R6" s="7"/>
      <c r="S6" s="7"/>
      <c r="T6" s="59">
        <v>2</v>
      </c>
      <c r="U6" s="18">
        <v>1</v>
      </c>
      <c r="V6" s="18">
        <v>1</v>
      </c>
      <c r="W6" s="6">
        <v>1</v>
      </c>
      <c r="X6" s="6" t="s">
        <v>173</v>
      </c>
      <c r="Y6" s="7"/>
      <c r="Z6" s="7"/>
      <c r="AA6" s="7"/>
      <c r="AB6" s="6">
        <v>4</v>
      </c>
      <c r="AC6" s="8"/>
      <c r="AD6" s="8"/>
      <c r="AE6" s="6">
        <v>0</v>
      </c>
      <c r="AF6" s="6">
        <v>40</v>
      </c>
      <c r="AG6" s="8"/>
      <c r="AH6" s="8"/>
      <c r="AI6" s="7"/>
      <c r="AK6" s="6" t="s">
        <v>36</v>
      </c>
      <c r="AL6" s="6" t="s">
        <v>37</v>
      </c>
    </row>
    <row r="7" spans="1:38" s="4" customFormat="1" ht="18" customHeight="1">
      <c r="B7" s="5"/>
      <c r="C7" s="6" t="s">
        <v>68</v>
      </c>
      <c r="D7" s="6" t="s">
        <v>68</v>
      </c>
      <c r="E7" s="6">
        <v>1</v>
      </c>
      <c r="F7" s="6"/>
      <c r="G7" s="6"/>
      <c r="H7" s="6"/>
      <c r="I7" s="6"/>
      <c r="J7" s="6">
        <v>1</v>
      </c>
      <c r="K7" s="41" t="s">
        <v>126</v>
      </c>
      <c r="L7" s="40" t="s">
        <v>78</v>
      </c>
      <c r="M7" s="7"/>
      <c r="N7" s="7"/>
      <c r="O7" s="7"/>
      <c r="P7" s="7"/>
      <c r="Q7" s="7"/>
      <c r="R7" s="7" t="s">
        <v>50</v>
      </c>
      <c r="S7" s="7"/>
      <c r="T7" s="59">
        <v>1</v>
      </c>
      <c r="U7" s="18">
        <v>1</v>
      </c>
      <c r="V7" s="18">
        <v>1</v>
      </c>
      <c r="W7" s="6">
        <v>1</v>
      </c>
      <c r="X7" s="6" t="s">
        <v>173</v>
      </c>
      <c r="Y7" s="7"/>
      <c r="Z7" s="7"/>
      <c r="AA7" s="7"/>
      <c r="AB7" s="6">
        <v>2</v>
      </c>
      <c r="AC7" s="8"/>
      <c r="AD7" s="8"/>
      <c r="AE7" s="6">
        <v>0</v>
      </c>
      <c r="AF7" s="6">
        <v>20</v>
      </c>
      <c r="AG7" s="8"/>
      <c r="AH7" s="8"/>
      <c r="AI7" s="7"/>
      <c r="AK7" s="6" t="s">
        <v>47</v>
      </c>
      <c r="AL7" s="6" t="s">
        <v>38</v>
      </c>
    </row>
    <row r="8" spans="1:38" s="4" customFormat="1" ht="18" customHeight="1">
      <c r="B8" s="5"/>
      <c r="C8" s="6" t="s">
        <v>68</v>
      </c>
      <c r="D8" s="6" t="s">
        <v>68</v>
      </c>
      <c r="E8" s="6">
        <v>1</v>
      </c>
      <c r="F8" s="6"/>
      <c r="G8" s="6"/>
      <c r="H8" s="6"/>
      <c r="I8" s="6"/>
      <c r="J8" s="6">
        <v>2</v>
      </c>
      <c r="K8" s="41" t="s">
        <v>127</v>
      </c>
      <c r="L8" s="40" t="s">
        <v>79</v>
      </c>
      <c r="M8" s="7"/>
      <c r="N8" s="7"/>
      <c r="O8" s="7"/>
      <c r="P8" s="7"/>
      <c r="Q8" s="7"/>
      <c r="R8" s="7" t="s">
        <v>64</v>
      </c>
      <c r="S8" s="7"/>
      <c r="T8" s="59">
        <v>1</v>
      </c>
      <c r="U8" s="18">
        <v>1</v>
      </c>
      <c r="V8" s="18">
        <v>1</v>
      </c>
      <c r="W8" s="6">
        <v>1</v>
      </c>
      <c r="X8" s="6" t="s">
        <v>173</v>
      </c>
      <c r="Y8" s="7"/>
      <c r="Z8" s="7"/>
      <c r="AA8" s="7"/>
      <c r="AB8" s="6">
        <v>2</v>
      </c>
      <c r="AC8" s="8"/>
      <c r="AD8" s="8"/>
      <c r="AE8" s="6">
        <v>0</v>
      </c>
      <c r="AF8" s="6">
        <v>20</v>
      </c>
      <c r="AG8" s="8"/>
      <c r="AH8" s="8"/>
      <c r="AI8" s="7"/>
      <c r="AK8" s="6" t="s">
        <v>48</v>
      </c>
      <c r="AL8" s="6" t="s">
        <v>39</v>
      </c>
    </row>
    <row r="9" spans="1:38" s="4" customFormat="1" ht="18" customHeight="1">
      <c r="B9" s="5"/>
      <c r="C9" s="6" t="s">
        <v>68</v>
      </c>
      <c r="D9" s="6" t="s">
        <v>68</v>
      </c>
      <c r="E9" s="6">
        <v>2</v>
      </c>
      <c r="F9" s="6"/>
      <c r="G9" s="6"/>
      <c r="H9" s="6"/>
      <c r="I9" s="6"/>
      <c r="J9" s="6"/>
      <c r="K9" s="41" t="s">
        <v>128</v>
      </c>
      <c r="L9" s="40" t="s">
        <v>80</v>
      </c>
      <c r="M9" s="7" t="s">
        <v>66</v>
      </c>
      <c r="N9" s="7"/>
      <c r="O9" s="7"/>
      <c r="P9" s="7"/>
      <c r="Q9" s="7"/>
      <c r="R9" s="7"/>
      <c r="S9" s="7"/>
      <c r="T9" s="59">
        <v>18</v>
      </c>
      <c r="U9" s="18">
        <v>1</v>
      </c>
      <c r="V9" s="18">
        <v>1</v>
      </c>
      <c r="W9" s="6">
        <v>1</v>
      </c>
      <c r="X9" s="6" t="s">
        <v>173</v>
      </c>
      <c r="Y9" s="7"/>
      <c r="Z9" s="7"/>
      <c r="AA9" s="7"/>
      <c r="AB9" s="6">
        <v>36</v>
      </c>
      <c r="AC9" s="8"/>
      <c r="AD9" s="8"/>
      <c r="AE9" s="6">
        <v>0</v>
      </c>
      <c r="AF9" s="6">
        <v>660</v>
      </c>
      <c r="AG9" s="8"/>
      <c r="AH9" s="8"/>
      <c r="AI9" s="7"/>
      <c r="AK9" s="6"/>
      <c r="AL9" s="6" t="s">
        <v>40</v>
      </c>
    </row>
    <row r="10" spans="1:38" s="4" customFormat="1" ht="18" customHeight="1">
      <c r="B10" s="5"/>
      <c r="C10" s="6" t="s">
        <v>68</v>
      </c>
      <c r="D10" s="6" t="s">
        <v>68</v>
      </c>
      <c r="E10" s="6">
        <v>2</v>
      </c>
      <c r="F10" s="6"/>
      <c r="G10" s="6"/>
      <c r="H10" s="6"/>
      <c r="I10" s="6"/>
      <c r="J10" s="6">
        <v>1</v>
      </c>
      <c r="K10" s="41" t="s">
        <v>129</v>
      </c>
      <c r="L10" s="40" t="s">
        <v>81</v>
      </c>
      <c r="M10" s="7"/>
      <c r="N10" s="7"/>
      <c r="O10" s="7"/>
      <c r="P10" s="7"/>
      <c r="Q10" s="7"/>
      <c r="R10" s="7" t="s">
        <v>50</v>
      </c>
      <c r="S10" s="7"/>
      <c r="T10" s="59">
        <v>1</v>
      </c>
      <c r="U10" s="18">
        <v>1</v>
      </c>
      <c r="V10" s="18">
        <v>1</v>
      </c>
      <c r="W10" s="6">
        <v>1</v>
      </c>
      <c r="X10" s="6" t="s">
        <v>173</v>
      </c>
      <c r="Y10" s="7"/>
      <c r="Z10" s="7"/>
      <c r="AA10" s="7"/>
      <c r="AB10" s="6">
        <v>2</v>
      </c>
      <c r="AC10" s="8"/>
      <c r="AD10" s="8"/>
      <c r="AE10" s="6">
        <v>0</v>
      </c>
      <c r="AF10" s="6">
        <v>10</v>
      </c>
      <c r="AG10" s="8"/>
      <c r="AH10" s="8"/>
      <c r="AI10" s="7"/>
      <c r="AK10" s="6"/>
      <c r="AL10" s="6" t="s">
        <v>41</v>
      </c>
    </row>
    <row r="11" spans="1:38" s="4" customFormat="1" ht="18" customHeight="1">
      <c r="B11" s="5"/>
      <c r="C11" s="6" t="s">
        <v>68</v>
      </c>
      <c r="D11" s="6" t="s">
        <v>68</v>
      </c>
      <c r="E11" s="6">
        <v>2</v>
      </c>
      <c r="F11" s="6">
        <v>1</v>
      </c>
      <c r="G11" s="6"/>
      <c r="H11" s="6"/>
      <c r="I11" s="6"/>
      <c r="J11" s="6"/>
      <c r="K11" s="41" t="s">
        <v>130</v>
      </c>
      <c r="L11" s="40" t="s">
        <v>82</v>
      </c>
      <c r="M11" s="7"/>
      <c r="N11" s="7" t="s">
        <v>21</v>
      </c>
      <c r="O11" s="7"/>
      <c r="P11" s="7"/>
      <c r="Q11" s="7"/>
      <c r="R11" s="7"/>
      <c r="S11" s="7"/>
      <c r="T11" s="59">
        <v>17</v>
      </c>
      <c r="U11" s="18">
        <v>1</v>
      </c>
      <c r="V11" s="18">
        <v>1</v>
      </c>
      <c r="W11" s="6">
        <v>1</v>
      </c>
      <c r="X11" s="6" t="s">
        <v>173</v>
      </c>
      <c r="Y11" s="7"/>
      <c r="Z11" s="7"/>
      <c r="AA11" s="7"/>
      <c r="AB11" s="6">
        <v>34</v>
      </c>
      <c r="AC11" s="8"/>
      <c r="AD11" s="8"/>
      <c r="AE11" s="6">
        <v>0</v>
      </c>
      <c r="AF11" s="6">
        <v>650</v>
      </c>
      <c r="AG11" s="8"/>
      <c r="AH11" s="8"/>
      <c r="AI11" s="7"/>
      <c r="AK11" s="6"/>
      <c r="AL11" s="6" t="s">
        <v>42</v>
      </c>
    </row>
    <row r="12" spans="1:38" s="4" customFormat="1" ht="18" customHeight="1">
      <c r="B12" s="5"/>
      <c r="C12" s="6" t="s">
        <v>68</v>
      </c>
      <c r="D12" s="6" t="s">
        <v>68</v>
      </c>
      <c r="E12" s="6">
        <v>2</v>
      </c>
      <c r="F12" s="6">
        <v>1</v>
      </c>
      <c r="G12" s="6"/>
      <c r="H12" s="6"/>
      <c r="I12" s="6"/>
      <c r="J12" s="6">
        <v>1</v>
      </c>
      <c r="K12" s="41" t="s">
        <v>131</v>
      </c>
      <c r="L12" s="40" t="s">
        <v>83</v>
      </c>
      <c r="M12" s="7"/>
      <c r="N12" s="7"/>
      <c r="O12" s="7"/>
      <c r="P12" s="7"/>
      <c r="Q12" s="7"/>
      <c r="R12" s="7" t="s">
        <v>51</v>
      </c>
      <c r="S12" s="7"/>
      <c r="T12" s="59">
        <v>1</v>
      </c>
      <c r="U12" s="18">
        <v>1</v>
      </c>
      <c r="V12" s="18">
        <v>1</v>
      </c>
      <c r="W12" s="6">
        <v>1</v>
      </c>
      <c r="X12" s="6" t="s">
        <v>173</v>
      </c>
      <c r="Y12" s="7"/>
      <c r="Z12" s="7"/>
      <c r="AA12" s="7"/>
      <c r="AB12" s="6">
        <v>2</v>
      </c>
      <c r="AC12" s="8"/>
      <c r="AD12" s="8"/>
      <c r="AE12" s="6">
        <v>0</v>
      </c>
      <c r="AF12" s="6">
        <v>20</v>
      </c>
      <c r="AG12" s="8"/>
      <c r="AH12" s="8"/>
      <c r="AI12" s="7"/>
      <c r="AK12" s="6"/>
      <c r="AL12" s="6" t="s">
        <v>43</v>
      </c>
    </row>
    <row r="13" spans="1:38" s="4" customFormat="1" ht="18" customHeight="1">
      <c r="B13" s="5"/>
      <c r="C13" s="6" t="s">
        <v>68</v>
      </c>
      <c r="D13" s="6" t="s">
        <v>68</v>
      </c>
      <c r="E13" s="6">
        <v>2</v>
      </c>
      <c r="F13" s="6">
        <v>1</v>
      </c>
      <c r="G13" s="6"/>
      <c r="H13" s="6"/>
      <c r="I13" s="6"/>
      <c r="J13" s="6">
        <v>2</v>
      </c>
      <c r="K13" s="41" t="s">
        <v>132</v>
      </c>
      <c r="L13" s="40" t="s">
        <v>84</v>
      </c>
      <c r="M13" s="7"/>
      <c r="N13" s="7"/>
      <c r="O13" s="7"/>
      <c r="P13" s="7"/>
      <c r="Q13" s="7"/>
      <c r="R13" s="7" t="s">
        <v>52</v>
      </c>
      <c r="S13" s="7"/>
      <c r="T13" s="59">
        <v>1</v>
      </c>
      <c r="U13" s="18">
        <v>1</v>
      </c>
      <c r="V13" s="18">
        <v>1</v>
      </c>
      <c r="W13" s="6">
        <v>1</v>
      </c>
      <c r="X13" s="6" t="s">
        <v>173</v>
      </c>
      <c r="Y13" s="7"/>
      <c r="Z13" s="7"/>
      <c r="AA13" s="7"/>
      <c r="AB13" s="6">
        <v>2</v>
      </c>
      <c r="AC13" s="8"/>
      <c r="AD13" s="8"/>
      <c r="AE13" s="6">
        <v>0</v>
      </c>
      <c r="AF13" s="6">
        <v>20</v>
      </c>
      <c r="AG13" s="8"/>
      <c r="AH13" s="8"/>
      <c r="AI13" s="7"/>
      <c r="AK13" s="6"/>
      <c r="AL13" s="6" t="s">
        <v>44</v>
      </c>
    </row>
    <row r="14" spans="1:38" s="4" customFormat="1" ht="18" customHeight="1">
      <c r="B14" s="5"/>
      <c r="C14" s="6" t="s">
        <v>68</v>
      </c>
      <c r="D14" s="6" t="s">
        <v>68</v>
      </c>
      <c r="E14" s="6">
        <v>2</v>
      </c>
      <c r="F14" s="6">
        <v>1</v>
      </c>
      <c r="G14" s="6">
        <v>1</v>
      </c>
      <c r="H14" s="6"/>
      <c r="I14" s="6"/>
      <c r="J14" s="6"/>
      <c r="K14" s="41" t="s">
        <v>133</v>
      </c>
      <c r="L14" s="40" t="s">
        <v>85</v>
      </c>
      <c r="M14" s="7"/>
      <c r="N14" s="7"/>
      <c r="O14" s="7" t="s">
        <v>22</v>
      </c>
      <c r="P14" s="7"/>
      <c r="Q14" s="7"/>
      <c r="R14" s="7"/>
      <c r="S14" s="7"/>
      <c r="T14" s="59">
        <v>15</v>
      </c>
      <c r="U14" s="18">
        <v>1</v>
      </c>
      <c r="V14" s="18">
        <v>1</v>
      </c>
      <c r="W14" s="6">
        <v>1</v>
      </c>
      <c r="X14" s="6" t="s">
        <v>173</v>
      </c>
      <c r="Y14" s="7"/>
      <c r="Z14" s="7"/>
      <c r="AA14" s="7"/>
      <c r="AB14" s="6">
        <v>30</v>
      </c>
      <c r="AC14" s="8"/>
      <c r="AD14" s="8"/>
      <c r="AE14" s="6">
        <v>0</v>
      </c>
      <c r="AF14" s="6">
        <v>610</v>
      </c>
      <c r="AG14" s="8"/>
      <c r="AH14" s="8"/>
      <c r="AI14" s="7"/>
      <c r="AK14" s="6"/>
      <c r="AL14" s="6" t="s">
        <v>45</v>
      </c>
    </row>
    <row r="15" spans="1:38" s="4" customFormat="1" ht="18" customHeight="1">
      <c r="B15" s="5"/>
      <c r="C15" s="6" t="s">
        <v>68</v>
      </c>
      <c r="D15" s="6" t="s">
        <v>68</v>
      </c>
      <c r="E15" s="6">
        <v>2</v>
      </c>
      <c r="F15" s="6">
        <v>1</v>
      </c>
      <c r="G15" s="6">
        <v>1</v>
      </c>
      <c r="H15" s="6"/>
      <c r="I15" s="6"/>
      <c r="J15" s="6">
        <v>1</v>
      </c>
      <c r="K15" s="41" t="s">
        <v>134</v>
      </c>
      <c r="L15" s="40" t="s">
        <v>86</v>
      </c>
      <c r="M15" s="7"/>
      <c r="N15" s="7"/>
      <c r="O15" s="7"/>
      <c r="P15" s="7"/>
      <c r="Q15" s="7"/>
      <c r="R15" s="7" t="s">
        <v>53</v>
      </c>
      <c r="S15" s="7"/>
      <c r="T15" s="59">
        <v>1</v>
      </c>
      <c r="U15" s="18">
        <v>1</v>
      </c>
      <c r="V15" s="18">
        <v>1</v>
      </c>
      <c r="W15" s="6">
        <v>1</v>
      </c>
      <c r="X15" s="6" t="s">
        <v>173</v>
      </c>
      <c r="Y15" s="7"/>
      <c r="Z15" s="7"/>
      <c r="AA15" s="7"/>
      <c r="AB15" s="6">
        <v>2</v>
      </c>
      <c r="AC15" s="8"/>
      <c r="AD15" s="8"/>
      <c r="AE15" s="6">
        <v>0</v>
      </c>
      <c r="AF15" s="6">
        <v>30</v>
      </c>
      <c r="AG15" s="8"/>
      <c r="AH15" s="8"/>
      <c r="AI15" s="7"/>
      <c r="AK15" s="6"/>
      <c r="AL15" s="6"/>
    </row>
    <row r="16" spans="1:38" s="4" customFormat="1" ht="18" customHeight="1">
      <c r="B16" s="5"/>
      <c r="C16" s="6" t="s">
        <v>68</v>
      </c>
      <c r="D16" s="6" t="s">
        <v>68</v>
      </c>
      <c r="E16" s="6">
        <v>2</v>
      </c>
      <c r="F16" s="6">
        <v>1</v>
      </c>
      <c r="G16" s="6">
        <v>1</v>
      </c>
      <c r="H16" s="6"/>
      <c r="I16" s="6"/>
      <c r="J16" s="6">
        <v>2</v>
      </c>
      <c r="K16" s="41" t="s">
        <v>135</v>
      </c>
      <c r="L16" s="40" t="s">
        <v>87</v>
      </c>
      <c r="M16" s="7"/>
      <c r="N16" s="7"/>
      <c r="O16" s="7"/>
      <c r="P16" s="7"/>
      <c r="Q16" s="7"/>
      <c r="R16" s="7" t="s">
        <v>54</v>
      </c>
      <c r="S16" s="7"/>
      <c r="T16" s="59">
        <v>1</v>
      </c>
      <c r="U16" s="18">
        <v>1</v>
      </c>
      <c r="V16" s="18">
        <v>1</v>
      </c>
      <c r="W16" s="6">
        <v>1</v>
      </c>
      <c r="X16" s="6" t="s">
        <v>173</v>
      </c>
      <c r="Y16" s="7"/>
      <c r="Z16" s="7"/>
      <c r="AA16" s="7"/>
      <c r="AB16" s="6">
        <v>2</v>
      </c>
      <c r="AC16" s="8"/>
      <c r="AD16" s="8"/>
      <c r="AE16" s="6">
        <v>0</v>
      </c>
      <c r="AF16" s="6">
        <v>30</v>
      </c>
      <c r="AG16" s="8"/>
      <c r="AH16" s="8"/>
      <c r="AI16" s="7"/>
      <c r="AK16" s="6"/>
      <c r="AL16" s="6"/>
    </row>
    <row r="17" spans="2:38" s="4" customFormat="1" ht="18" customHeight="1">
      <c r="B17" s="5"/>
      <c r="C17" s="6" t="s">
        <v>68</v>
      </c>
      <c r="D17" s="6" t="s">
        <v>68</v>
      </c>
      <c r="E17" s="6">
        <v>2</v>
      </c>
      <c r="F17" s="6">
        <v>1</v>
      </c>
      <c r="G17" s="6">
        <v>1</v>
      </c>
      <c r="H17" s="6"/>
      <c r="I17" s="6"/>
      <c r="J17" s="6">
        <v>3</v>
      </c>
      <c r="K17" s="41" t="s">
        <v>136</v>
      </c>
      <c r="L17" s="40" t="s">
        <v>88</v>
      </c>
      <c r="M17" s="7"/>
      <c r="N17" s="7"/>
      <c r="O17" s="7"/>
      <c r="P17" s="7"/>
      <c r="Q17" s="7"/>
      <c r="R17" s="7" t="s">
        <v>55</v>
      </c>
      <c r="S17" s="7"/>
      <c r="T17" s="59">
        <v>1</v>
      </c>
      <c r="U17" s="18">
        <v>1</v>
      </c>
      <c r="V17" s="18">
        <v>1</v>
      </c>
      <c r="W17" s="6">
        <v>1</v>
      </c>
      <c r="X17" s="6" t="s">
        <v>173</v>
      </c>
      <c r="Y17" s="7"/>
      <c r="Z17" s="7"/>
      <c r="AA17" s="7"/>
      <c r="AB17" s="6">
        <v>2</v>
      </c>
      <c r="AC17" s="8"/>
      <c r="AD17" s="8"/>
      <c r="AE17" s="6">
        <v>0</v>
      </c>
      <c r="AF17" s="6">
        <v>30</v>
      </c>
      <c r="AG17" s="8"/>
      <c r="AH17" s="8"/>
      <c r="AI17" s="7"/>
      <c r="AK17" s="6"/>
      <c r="AL17" s="6"/>
    </row>
    <row r="18" spans="2:38" s="4" customFormat="1" ht="18" customHeight="1">
      <c r="B18" s="5"/>
      <c r="C18" s="6" t="s">
        <v>68</v>
      </c>
      <c r="D18" s="6" t="s">
        <v>68</v>
      </c>
      <c r="E18" s="6">
        <v>2</v>
      </c>
      <c r="F18" s="6">
        <v>1</v>
      </c>
      <c r="G18" s="6">
        <v>1</v>
      </c>
      <c r="H18" s="6">
        <v>1</v>
      </c>
      <c r="I18" s="6"/>
      <c r="J18" s="6"/>
      <c r="K18" s="41" t="s">
        <v>137</v>
      </c>
      <c r="L18" s="40" t="s">
        <v>89</v>
      </c>
      <c r="M18" s="7"/>
      <c r="N18" s="7"/>
      <c r="O18" s="7"/>
      <c r="P18" s="7" t="s">
        <v>23</v>
      </c>
      <c r="Q18" s="7"/>
      <c r="R18" s="7"/>
      <c r="S18" s="7"/>
      <c r="T18" s="59">
        <v>1</v>
      </c>
      <c r="U18" s="18">
        <v>1</v>
      </c>
      <c r="V18" s="18">
        <v>1</v>
      </c>
      <c r="W18" s="6">
        <v>1</v>
      </c>
      <c r="X18" s="6" t="s">
        <v>173</v>
      </c>
      <c r="Y18" s="7"/>
      <c r="Z18" s="7"/>
      <c r="AA18" s="7"/>
      <c r="AB18" s="6">
        <v>2</v>
      </c>
      <c r="AC18" s="8"/>
      <c r="AD18" s="8"/>
      <c r="AE18" s="6">
        <v>0</v>
      </c>
      <c r="AF18" s="6">
        <v>10</v>
      </c>
      <c r="AG18" s="8"/>
      <c r="AH18" s="8"/>
      <c r="AI18" s="7"/>
      <c r="AK18" s="6"/>
      <c r="AL18" s="6"/>
    </row>
    <row r="19" spans="2:38" s="4" customFormat="1" ht="18" customHeight="1">
      <c r="B19" s="5"/>
      <c r="C19" s="6" t="s">
        <v>68</v>
      </c>
      <c r="D19" s="6" t="s">
        <v>68</v>
      </c>
      <c r="E19" s="6">
        <v>2</v>
      </c>
      <c r="F19" s="6">
        <v>1</v>
      </c>
      <c r="G19" s="6">
        <v>1</v>
      </c>
      <c r="H19" s="6">
        <v>1</v>
      </c>
      <c r="I19" s="6"/>
      <c r="J19" s="6">
        <v>1</v>
      </c>
      <c r="K19" s="41" t="s">
        <v>138</v>
      </c>
      <c r="L19" s="40" t="s">
        <v>90</v>
      </c>
      <c r="M19" s="7"/>
      <c r="N19" s="7"/>
      <c r="O19" s="7"/>
      <c r="P19" s="7"/>
      <c r="Q19" s="7"/>
      <c r="R19" s="7" t="s">
        <v>57</v>
      </c>
      <c r="S19" s="7"/>
      <c r="T19" s="59">
        <v>1</v>
      </c>
      <c r="U19" s="18">
        <v>1</v>
      </c>
      <c r="V19" s="18">
        <v>1</v>
      </c>
      <c r="W19" s="6">
        <v>1</v>
      </c>
      <c r="X19" s="6" t="s">
        <v>173</v>
      </c>
      <c r="Y19" s="7"/>
      <c r="Z19" s="7"/>
      <c r="AA19" s="7"/>
      <c r="AB19" s="6">
        <v>2</v>
      </c>
      <c r="AC19" s="8"/>
      <c r="AD19" s="8"/>
      <c r="AE19" s="6">
        <v>0</v>
      </c>
      <c r="AF19" s="6">
        <v>10</v>
      </c>
      <c r="AG19" s="8"/>
      <c r="AH19" s="8"/>
      <c r="AI19" s="7"/>
      <c r="AK19" s="6"/>
      <c r="AL19" s="6"/>
    </row>
    <row r="20" spans="2:38" s="4" customFormat="1" ht="18" customHeight="1">
      <c r="B20" s="5"/>
      <c r="C20" s="6" t="s">
        <v>68</v>
      </c>
      <c r="D20" s="6" t="s">
        <v>68</v>
      </c>
      <c r="E20" s="6">
        <v>2</v>
      </c>
      <c r="F20" s="6">
        <v>1</v>
      </c>
      <c r="G20" s="6">
        <v>1</v>
      </c>
      <c r="H20" s="6">
        <v>2</v>
      </c>
      <c r="I20" s="6"/>
      <c r="J20" s="6"/>
      <c r="K20" s="41" t="s">
        <v>139</v>
      </c>
      <c r="L20" s="40" t="s">
        <v>91</v>
      </c>
      <c r="M20" s="7"/>
      <c r="N20" s="7"/>
      <c r="O20" s="7"/>
      <c r="P20" s="7" t="s">
        <v>23</v>
      </c>
      <c r="Q20" s="7"/>
      <c r="R20" s="7"/>
      <c r="S20" s="7"/>
      <c r="T20" s="59">
        <v>11</v>
      </c>
      <c r="U20" s="18">
        <v>1</v>
      </c>
      <c r="V20" s="18">
        <v>1</v>
      </c>
      <c r="W20" s="6">
        <v>1</v>
      </c>
      <c r="X20" s="6" t="s">
        <v>173</v>
      </c>
      <c r="Y20" s="7"/>
      <c r="Z20" s="7"/>
      <c r="AA20" s="7"/>
      <c r="AB20" s="6">
        <v>22</v>
      </c>
      <c r="AC20" s="8"/>
      <c r="AD20" s="8"/>
      <c r="AE20" s="6">
        <v>0</v>
      </c>
      <c r="AF20" s="6">
        <v>510</v>
      </c>
      <c r="AG20" s="8"/>
      <c r="AH20" s="8"/>
      <c r="AI20" s="7"/>
      <c r="AK20" s="6"/>
      <c r="AL20" s="6"/>
    </row>
    <row r="21" spans="2:38" s="4" customFormat="1" ht="18" customHeight="1">
      <c r="B21" s="5"/>
      <c r="C21" s="6" t="s">
        <v>68</v>
      </c>
      <c r="D21" s="6" t="s">
        <v>68</v>
      </c>
      <c r="E21" s="6">
        <v>2</v>
      </c>
      <c r="F21" s="6">
        <v>1</v>
      </c>
      <c r="G21" s="6">
        <v>1</v>
      </c>
      <c r="H21" s="6">
        <v>2</v>
      </c>
      <c r="I21" s="6"/>
      <c r="J21" s="6">
        <v>1</v>
      </c>
      <c r="K21" s="41" t="s">
        <v>140</v>
      </c>
      <c r="L21" s="40" t="s">
        <v>92</v>
      </c>
      <c r="M21" s="7"/>
      <c r="N21" s="7"/>
      <c r="O21" s="7"/>
      <c r="P21" s="7"/>
      <c r="Q21" s="7"/>
      <c r="R21" s="7" t="s">
        <v>56</v>
      </c>
      <c r="S21" s="7"/>
      <c r="T21" s="59">
        <v>1</v>
      </c>
      <c r="U21" s="18">
        <v>1</v>
      </c>
      <c r="V21" s="18">
        <v>1</v>
      </c>
      <c r="W21" s="6">
        <v>1</v>
      </c>
      <c r="X21" s="6" t="s">
        <v>173</v>
      </c>
      <c r="Y21" s="7"/>
      <c r="Z21" s="7"/>
      <c r="AA21" s="7"/>
      <c r="AB21" s="6">
        <v>2</v>
      </c>
      <c r="AC21" s="8"/>
      <c r="AD21" s="8"/>
      <c r="AE21" s="6">
        <v>0</v>
      </c>
      <c r="AF21" s="6">
        <v>40</v>
      </c>
      <c r="AG21" s="8"/>
      <c r="AH21" s="8"/>
      <c r="AI21" s="7"/>
      <c r="AK21" s="6"/>
      <c r="AL21" s="6"/>
    </row>
    <row r="22" spans="2:38" s="4" customFormat="1" ht="18" customHeight="1">
      <c r="B22" s="5"/>
      <c r="C22" s="6" t="s">
        <v>68</v>
      </c>
      <c r="D22" s="6" t="s">
        <v>68</v>
      </c>
      <c r="E22" s="6">
        <v>2</v>
      </c>
      <c r="F22" s="6">
        <v>1</v>
      </c>
      <c r="G22" s="6">
        <v>1</v>
      </c>
      <c r="H22" s="6">
        <v>2</v>
      </c>
      <c r="I22" s="6"/>
      <c r="J22" s="6">
        <v>2</v>
      </c>
      <c r="K22" s="41" t="s">
        <v>141</v>
      </c>
      <c r="L22" s="40" t="s">
        <v>93</v>
      </c>
      <c r="M22" s="7"/>
      <c r="N22" s="7"/>
      <c r="O22" s="7"/>
      <c r="P22" s="7"/>
      <c r="Q22" s="7"/>
      <c r="R22" s="7" t="s">
        <v>57</v>
      </c>
      <c r="S22" s="7"/>
      <c r="T22" s="59">
        <v>1</v>
      </c>
      <c r="U22" s="18">
        <v>1</v>
      </c>
      <c r="V22" s="18">
        <v>1</v>
      </c>
      <c r="W22" s="6">
        <v>1</v>
      </c>
      <c r="X22" s="6" t="s">
        <v>173</v>
      </c>
      <c r="Y22" s="7"/>
      <c r="Z22" s="7"/>
      <c r="AA22" s="7"/>
      <c r="AB22" s="6">
        <v>2</v>
      </c>
      <c r="AC22" s="8"/>
      <c r="AD22" s="8"/>
      <c r="AE22" s="6">
        <v>0</v>
      </c>
      <c r="AF22" s="6">
        <v>40</v>
      </c>
      <c r="AG22" s="8"/>
      <c r="AH22" s="8"/>
      <c r="AI22" s="7"/>
      <c r="AK22" s="6"/>
      <c r="AL22" s="6"/>
    </row>
    <row r="23" spans="2:38" s="4" customFormat="1" ht="18" customHeight="1">
      <c r="B23" s="5"/>
      <c r="C23" s="6" t="s">
        <v>68</v>
      </c>
      <c r="D23" s="6" t="s">
        <v>68</v>
      </c>
      <c r="E23" s="6">
        <v>2</v>
      </c>
      <c r="F23" s="6">
        <v>1</v>
      </c>
      <c r="G23" s="6">
        <v>1</v>
      </c>
      <c r="H23" s="6">
        <v>2</v>
      </c>
      <c r="I23" s="6"/>
      <c r="J23" s="6">
        <v>3</v>
      </c>
      <c r="K23" s="41" t="s">
        <v>142</v>
      </c>
      <c r="L23" s="40" t="s">
        <v>94</v>
      </c>
      <c r="M23" s="7"/>
      <c r="N23" s="7"/>
      <c r="O23" s="7"/>
      <c r="P23" s="7"/>
      <c r="Q23" s="7"/>
      <c r="R23" s="7" t="s">
        <v>58</v>
      </c>
      <c r="S23" s="7"/>
      <c r="T23" s="59">
        <v>1</v>
      </c>
      <c r="U23" s="18">
        <v>1</v>
      </c>
      <c r="V23" s="18">
        <v>1</v>
      </c>
      <c r="W23" s="6">
        <v>1</v>
      </c>
      <c r="X23" s="6" t="s">
        <v>173</v>
      </c>
      <c r="Y23" s="7"/>
      <c r="Z23" s="7"/>
      <c r="AA23" s="7"/>
      <c r="AB23" s="6">
        <v>2</v>
      </c>
      <c r="AC23" s="8"/>
      <c r="AD23" s="8"/>
      <c r="AE23" s="6">
        <v>0</v>
      </c>
      <c r="AF23" s="6">
        <v>40</v>
      </c>
      <c r="AG23" s="8"/>
      <c r="AH23" s="8"/>
      <c r="AI23" s="7"/>
      <c r="AK23" s="6"/>
      <c r="AL23" s="6"/>
    </row>
    <row r="24" spans="2:38" s="4" customFormat="1" ht="18" customHeight="1">
      <c r="B24" s="5"/>
      <c r="C24" s="6" t="s">
        <v>68</v>
      </c>
      <c r="D24" s="6" t="s">
        <v>68</v>
      </c>
      <c r="E24" s="6">
        <v>2</v>
      </c>
      <c r="F24" s="6">
        <v>1</v>
      </c>
      <c r="G24" s="6">
        <v>1</v>
      </c>
      <c r="H24" s="6">
        <v>2</v>
      </c>
      <c r="I24" s="6"/>
      <c r="J24" s="6">
        <v>4</v>
      </c>
      <c r="K24" s="41" t="s">
        <v>143</v>
      </c>
      <c r="L24" s="40" t="s">
        <v>95</v>
      </c>
      <c r="M24" s="7"/>
      <c r="N24" s="7"/>
      <c r="O24" s="7"/>
      <c r="P24" s="7"/>
      <c r="Q24" s="7"/>
      <c r="R24" s="7" t="s">
        <v>49</v>
      </c>
      <c r="S24" s="7"/>
      <c r="T24" s="59">
        <v>1</v>
      </c>
      <c r="U24" s="18">
        <v>1</v>
      </c>
      <c r="V24" s="18">
        <v>1</v>
      </c>
      <c r="W24" s="6">
        <v>1</v>
      </c>
      <c r="X24" s="6" t="s">
        <v>173</v>
      </c>
      <c r="Y24" s="7"/>
      <c r="Z24" s="7"/>
      <c r="AA24" s="7"/>
      <c r="AB24" s="6">
        <v>2</v>
      </c>
      <c r="AC24" s="8"/>
      <c r="AD24" s="8"/>
      <c r="AE24" s="6">
        <v>0</v>
      </c>
      <c r="AF24" s="6">
        <v>40</v>
      </c>
      <c r="AG24" s="8"/>
      <c r="AH24" s="8"/>
      <c r="AI24" s="7"/>
      <c r="AK24" s="6"/>
      <c r="AL24" s="6"/>
    </row>
    <row r="25" spans="2:38" s="4" customFormat="1" ht="18" customHeight="1">
      <c r="B25" s="5"/>
      <c r="C25" s="6" t="s">
        <v>68</v>
      </c>
      <c r="D25" s="6" t="s">
        <v>68</v>
      </c>
      <c r="E25" s="6">
        <v>2</v>
      </c>
      <c r="F25" s="6">
        <v>1</v>
      </c>
      <c r="G25" s="6">
        <v>1</v>
      </c>
      <c r="H25" s="6">
        <v>2</v>
      </c>
      <c r="I25" s="6">
        <v>1</v>
      </c>
      <c r="J25" s="6"/>
      <c r="K25" s="41" t="s">
        <v>144</v>
      </c>
      <c r="L25" s="40" t="s">
        <v>96</v>
      </c>
      <c r="M25" s="7"/>
      <c r="N25" s="7"/>
      <c r="O25" s="7"/>
      <c r="P25" s="7"/>
      <c r="Q25" s="7" t="s">
        <v>35</v>
      </c>
      <c r="R25" s="7"/>
      <c r="S25" s="7"/>
      <c r="T25" s="59">
        <v>5</v>
      </c>
      <c r="U25" s="18">
        <v>1</v>
      </c>
      <c r="V25" s="18">
        <v>1</v>
      </c>
      <c r="W25" s="6">
        <v>1</v>
      </c>
      <c r="X25" s="6" t="s">
        <v>173</v>
      </c>
      <c r="Y25" s="7"/>
      <c r="Z25" s="7"/>
      <c r="AA25" s="7"/>
      <c r="AB25" s="6">
        <v>10</v>
      </c>
      <c r="AC25" s="8"/>
      <c r="AD25" s="8"/>
      <c r="AE25" s="6">
        <v>0</v>
      </c>
      <c r="AF25" s="6">
        <v>250</v>
      </c>
      <c r="AG25" s="8"/>
      <c r="AH25" s="8"/>
      <c r="AI25" s="7"/>
      <c r="AK25" s="6"/>
      <c r="AL25" s="6"/>
    </row>
    <row r="26" spans="2:38" s="4" customFormat="1" ht="18" customHeight="1">
      <c r="B26" s="5"/>
      <c r="C26" s="6" t="s">
        <v>68</v>
      </c>
      <c r="D26" s="6" t="s">
        <v>68</v>
      </c>
      <c r="E26" s="6">
        <v>2</v>
      </c>
      <c r="F26" s="6">
        <v>1</v>
      </c>
      <c r="G26" s="6">
        <v>1</v>
      </c>
      <c r="H26" s="6">
        <v>2</v>
      </c>
      <c r="I26" s="6">
        <v>1</v>
      </c>
      <c r="J26" s="6">
        <v>1</v>
      </c>
      <c r="K26" s="41" t="s">
        <v>145</v>
      </c>
      <c r="L26" s="40" t="s">
        <v>97</v>
      </c>
      <c r="M26" s="7"/>
      <c r="N26" s="7"/>
      <c r="O26" s="7"/>
      <c r="P26" s="7"/>
      <c r="Q26" s="7"/>
      <c r="R26" s="7" t="s">
        <v>59</v>
      </c>
      <c r="S26" s="7"/>
      <c r="T26" s="59">
        <v>1</v>
      </c>
      <c r="U26" s="18">
        <v>1</v>
      </c>
      <c r="V26" s="18">
        <v>1</v>
      </c>
      <c r="W26" s="6">
        <v>1</v>
      </c>
      <c r="X26" s="6" t="s">
        <v>173</v>
      </c>
      <c r="Y26" s="7"/>
      <c r="Z26" s="7"/>
      <c r="AA26" s="7"/>
      <c r="AB26" s="6">
        <v>2</v>
      </c>
      <c r="AC26" s="8"/>
      <c r="AD26" s="8"/>
      <c r="AE26" s="6">
        <v>0</v>
      </c>
      <c r="AF26" s="6">
        <v>50</v>
      </c>
      <c r="AG26" s="8"/>
      <c r="AH26" s="8"/>
      <c r="AI26" s="7"/>
      <c r="AK26" s="6"/>
      <c r="AL26" s="6"/>
    </row>
    <row r="27" spans="2:38" s="4" customFormat="1" ht="18" customHeight="1">
      <c r="B27" s="5"/>
      <c r="C27" s="6" t="s">
        <v>68</v>
      </c>
      <c r="D27" s="6" t="s">
        <v>68</v>
      </c>
      <c r="E27" s="6">
        <v>2</v>
      </c>
      <c r="F27" s="6">
        <v>1</v>
      </c>
      <c r="G27" s="6">
        <v>1</v>
      </c>
      <c r="H27" s="6">
        <v>2</v>
      </c>
      <c r="I27" s="6">
        <v>1</v>
      </c>
      <c r="J27" s="6">
        <v>2</v>
      </c>
      <c r="K27" s="41" t="s">
        <v>146</v>
      </c>
      <c r="L27" s="40" t="s">
        <v>98</v>
      </c>
      <c r="M27" s="7"/>
      <c r="N27" s="7"/>
      <c r="O27" s="7"/>
      <c r="P27" s="7"/>
      <c r="Q27" s="7"/>
      <c r="R27" s="7" t="s">
        <v>60</v>
      </c>
      <c r="S27" s="7"/>
      <c r="T27" s="59">
        <v>1</v>
      </c>
      <c r="U27" s="18">
        <v>1</v>
      </c>
      <c r="V27" s="18">
        <v>1</v>
      </c>
      <c r="W27" s="6">
        <v>1</v>
      </c>
      <c r="X27" s="6" t="s">
        <v>173</v>
      </c>
      <c r="Y27" s="7"/>
      <c r="Z27" s="7"/>
      <c r="AA27" s="7"/>
      <c r="AB27" s="6">
        <v>2</v>
      </c>
      <c r="AC27" s="8"/>
      <c r="AD27" s="8"/>
      <c r="AE27" s="6">
        <v>0</v>
      </c>
      <c r="AF27" s="6">
        <v>50</v>
      </c>
      <c r="AG27" s="8"/>
      <c r="AH27" s="8"/>
      <c r="AI27" s="7"/>
      <c r="AK27" s="6"/>
      <c r="AL27" s="6"/>
    </row>
    <row r="28" spans="2:38" s="4" customFormat="1" ht="18" customHeight="1">
      <c r="B28" s="5"/>
      <c r="C28" s="6" t="s">
        <v>68</v>
      </c>
      <c r="D28" s="6" t="s">
        <v>68</v>
      </c>
      <c r="E28" s="6">
        <v>2</v>
      </c>
      <c r="F28" s="6">
        <v>1</v>
      </c>
      <c r="G28" s="6">
        <v>1</v>
      </c>
      <c r="H28" s="6">
        <v>2</v>
      </c>
      <c r="I28" s="6">
        <v>1</v>
      </c>
      <c r="J28" s="6">
        <v>3</v>
      </c>
      <c r="K28" s="41" t="s">
        <v>147</v>
      </c>
      <c r="L28" s="40" t="s">
        <v>99</v>
      </c>
      <c r="M28" s="7"/>
      <c r="N28" s="7"/>
      <c r="O28" s="7"/>
      <c r="P28" s="7"/>
      <c r="Q28" s="7"/>
      <c r="R28" s="7" t="s">
        <v>61</v>
      </c>
      <c r="S28" s="7"/>
      <c r="T28" s="59">
        <v>1</v>
      </c>
      <c r="U28" s="18">
        <v>1</v>
      </c>
      <c r="V28" s="18">
        <v>1</v>
      </c>
      <c r="W28" s="6">
        <v>1</v>
      </c>
      <c r="X28" s="6" t="s">
        <v>173</v>
      </c>
      <c r="Y28" s="7"/>
      <c r="Z28" s="7"/>
      <c r="AA28" s="7"/>
      <c r="AB28" s="6">
        <v>2</v>
      </c>
      <c r="AC28" s="8"/>
      <c r="AD28" s="8"/>
      <c r="AE28" s="6">
        <v>0</v>
      </c>
      <c r="AF28" s="6">
        <v>50</v>
      </c>
      <c r="AG28" s="8"/>
      <c r="AH28" s="8"/>
      <c r="AI28" s="7"/>
      <c r="AK28" s="6"/>
      <c r="AL28" s="6"/>
    </row>
    <row r="29" spans="2:38" s="4" customFormat="1" ht="18" customHeight="1">
      <c r="B29" s="5"/>
      <c r="C29" s="6" t="s">
        <v>68</v>
      </c>
      <c r="D29" s="6" t="s">
        <v>68</v>
      </c>
      <c r="E29" s="6">
        <v>2</v>
      </c>
      <c r="F29" s="6">
        <v>1</v>
      </c>
      <c r="G29" s="6">
        <v>1</v>
      </c>
      <c r="H29" s="6">
        <v>2</v>
      </c>
      <c r="I29" s="6">
        <v>1</v>
      </c>
      <c r="J29" s="6">
        <v>4</v>
      </c>
      <c r="K29" s="41" t="s">
        <v>148</v>
      </c>
      <c r="L29" s="40" t="s">
        <v>100</v>
      </c>
      <c r="M29" s="7"/>
      <c r="N29" s="7"/>
      <c r="O29" s="7"/>
      <c r="P29" s="7"/>
      <c r="Q29" s="7"/>
      <c r="R29" s="7" t="s">
        <v>62</v>
      </c>
      <c r="S29" s="7"/>
      <c r="T29" s="59">
        <v>1</v>
      </c>
      <c r="U29" s="18">
        <v>1</v>
      </c>
      <c r="V29" s="18">
        <v>1</v>
      </c>
      <c r="W29" s="6">
        <v>1</v>
      </c>
      <c r="X29" s="6" t="s">
        <v>173</v>
      </c>
      <c r="Y29" s="7"/>
      <c r="Z29" s="7"/>
      <c r="AA29" s="7"/>
      <c r="AB29" s="6">
        <v>2</v>
      </c>
      <c r="AC29" s="8"/>
      <c r="AD29" s="8"/>
      <c r="AE29" s="6">
        <v>0</v>
      </c>
      <c r="AF29" s="6">
        <v>50</v>
      </c>
      <c r="AG29" s="8"/>
      <c r="AH29" s="8"/>
      <c r="AI29" s="7"/>
      <c r="AK29" s="6"/>
      <c r="AL29" s="6"/>
    </row>
    <row r="30" spans="2:38" s="4" customFormat="1" ht="18" customHeight="1">
      <c r="B30" s="5"/>
      <c r="C30" s="6" t="s">
        <v>68</v>
      </c>
      <c r="D30" s="6" t="s">
        <v>68</v>
      </c>
      <c r="E30" s="6">
        <v>2</v>
      </c>
      <c r="F30" s="6">
        <v>1</v>
      </c>
      <c r="G30" s="6">
        <v>1</v>
      </c>
      <c r="H30" s="6">
        <v>2</v>
      </c>
      <c r="I30" s="6">
        <v>1</v>
      </c>
      <c r="J30" s="6">
        <v>5</v>
      </c>
      <c r="K30" s="41" t="s">
        <v>149</v>
      </c>
      <c r="L30" s="40" t="s">
        <v>101</v>
      </c>
      <c r="M30" s="7"/>
      <c r="N30" s="7"/>
      <c r="O30" s="7"/>
      <c r="P30" s="7"/>
      <c r="Q30" s="7"/>
      <c r="R30" s="7" t="s">
        <v>63</v>
      </c>
      <c r="S30" s="7"/>
      <c r="T30" s="59">
        <v>1</v>
      </c>
      <c r="U30" s="18">
        <v>1</v>
      </c>
      <c r="V30" s="18">
        <v>1</v>
      </c>
      <c r="W30" s="6">
        <v>1</v>
      </c>
      <c r="X30" s="6" t="s">
        <v>173</v>
      </c>
      <c r="Y30" s="7"/>
      <c r="Z30" s="7"/>
      <c r="AA30" s="7"/>
      <c r="AB30" s="6">
        <v>2</v>
      </c>
      <c r="AC30" s="8"/>
      <c r="AD30" s="8"/>
      <c r="AE30" s="6">
        <v>0</v>
      </c>
      <c r="AF30" s="6">
        <v>50</v>
      </c>
      <c r="AG30" s="8"/>
      <c r="AH30" s="8"/>
      <c r="AI30" s="7"/>
      <c r="AK30" s="6"/>
      <c r="AL30" s="6"/>
    </row>
    <row r="31" spans="2:38" s="4" customFormat="1" ht="18" customHeight="1">
      <c r="B31" s="5"/>
      <c r="C31" s="6" t="s">
        <v>68</v>
      </c>
      <c r="D31" s="6" t="s">
        <v>68</v>
      </c>
      <c r="E31" s="6">
        <v>2</v>
      </c>
      <c r="F31" s="6">
        <v>1</v>
      </c>
      <c r="G31" s="6">
        <v>1</v>
      </c>
      <c r="H31" s="6">
        <v>2</v>
      </c>
      <c r="I31" s="6">
        <v>2</v>
      </c>
      <c r="J31" s="6"/>
      <c r="K31" s="41" t="s">
        <v>150</v>
      </c>
      <c r="L31" s="40" t="s">
        <v>102</v>
      </c>
      <c r="M31" s="7"/>
      <c r="N31" s="7"/>
      <c r="O31" s="7"/>
      <c r="P31" s="7"/>
      <c r="Q31" s="7" t="s">
        <v>35</v>
      </c>
      <c r="R31" s="7"/>
      <c r="S31" s="7"/>
      <c r="T31" s="59">
        <v>2</v>
      </c>
      <c r="U31" s="18">
        <v>1</v>
      </c>
      <c r="V31" s="18">
        <v>1</v>
      </c>
      <c r="W31" s="6">
        <v>1</v>
      </c>
      <c r="X31" s="6" t="s">
        <v>173</v>
      </c>
      <c r="Y31" s="7"/>
      <c r="Z31" s="7"/>
      <c r="AA31" s="7"/>
      <c r="AB31" s="6">
        <v>4</v>
      </c>
      <c r="AC31" s="8"/>
      <c r="AD31" s="8"/>
      <c r="AE31" s="6">
        <v>0</v>
      </c>
      <c r="AF31" s="6">
        <v>100</v>
      </c>
      <c r="AG31" s="8"/>
      <c r="AH31" s="8"/>
      <c r="AI31" s="7"/>
      <c r="AK31" s="6"/>
      <c r="AL31" s="6"/>
    </row>
    <row r="32" spans="2:38" s="4" customFormat="1" ht="18" customHeight="1">
      <c r="B32" s="5"/>
      <c r="C32" s="6" t="s">
        <v>68</v>
      </c>
      <c r="D32" s="6" t="s">
        <v>68</v>
      </c>
      <c r="E32" s="6">
        <v>2</v>
      </c>
      <c r="F32" s="6">
        <v>1</v>
      </c>
      <c r="G32" s="6">
        <v>1</v>
      </c>
      <c r="H32" s="6">
        <v>2</v>
      </c>
      <c r="I32" s="6">
        <v>2</v>
      </c>
      <c r="J32" s="6">
        <v>1</v>
      </c>
      <c r="K32" s="41" t="s">
        <v>151</v>
      </c>
      <c r="L32" s="40" t="s">
        <v>103</v>
      </c>
      <c r="M32" s="7"/>
      <c r="N32" s="7"/>
      <c r="O32" s="7"/>
      <c r="P32" s="7"/>
      <c r="Q32" s="7"/>
      <c r="R32" s="7" t="s">
        <v>59</v>
      </c>
      <c r="S32" s="7"/>
      <c r="T32" s="59">
        <v>1</v>
      </c>
      <c r="U32" s="18">
        <v>1</v>
      </c>
      <c r="V32" s="18">
        <v>1</v>
      </c>
      <c r="W32" s="6">
        <v>1</v>
      </c>
      <c r="X32" s="6" t="s">
        <v>173</v>
      </c>
      <c r="Y32" s="7"/>
      <c r="Z32" s="7"/>
      <c r="AA32" s="7"/>
      <c r="AB32" s="6">
        <v>2</v>
      </c>
      <c r="AC32" s="8"/>
      <c r="AD32" s="8"/>
      <c r="AE32" s="6">
        <v>0</v>
      </c>
      <c r="AF32" s="6">
        <v>50</v>
      </c>
      <c r="AG32" s="8"/>
      <c r="AH32" s="8"/>
      <c r="AI32" s="7"/>
      <c r="AK32" s="6"/>
      <c r="AL32" s="6"/>
    </row>
    <row r="33" spans="2:38" s="4" customFormat="1" ht="18" customHeight="1">
      <c r="B33" s="5"/>
      <c r="C33" s="6" t="s">
        <v>68</v>
      </c>
      <c r="D33" s="6" t="s">
        <v>68</v>
      </c>
      <c r="E33" s="6">
        <v>2</v>
      </c>
      <c r="F33" s="6">
        <v>1</v>
      </c>
      <c r="G33" s="6">
        <v>1</v>
      </c>
      <c r="H33" s="6">
        <v>2</v>
      </c>
      <c r="I33" s="6">
        <v>2</v>
      </c>
      <c r="J33" s="6">
        <v>2</v>
      </c>
      <c r="K33" s="41" t="s">
        <v>152</v>
      </c>
      <c r="L33" s="40" t="s">
        <v>104</v>
      </c>
      <c r="M33" s="7"/>
      <c r="N33" s="7"/>
      <c r="O33" s="7"/>
      <c r="P33" s="7"/>
      <c r="Q33" s="7"/>
      <c r="R33" s="7" t="s">
        <v>60</v>
      </c>
      <c r="S33" s="7"/>
      <c r="T33" s="59">
        <v>1</v>
      </c>
      <c r="U33" s="18">
        <v>1</v>
      </c>
      <c r="V33" s="18">
        <v>1</v>
      </c>
      <c r="W33" s="6">
        <v>1</v>
      </c>
      <c r="X33" s="6" t="s">
        <v>173</v>
      </c>
      <c r="Y33" s="7"/>
      <c r="Z33" s="7"/>
      <c r="AA33" s="7"/>
      <c r="AB33" s="6">
        <v>2</v>
      </c>
      <c r="AC33" s="8"/>
      <c r="AD33" s="8"/>
      <c r="AE33" s="6">
        <v>0</v>
      </c>
      <c r="AF33" s="6">
        <v>50</v>
      </c>
      <c r="AG33" s="8"/>
      <c r="AH33" s="8"/>
      <c r="AI33" s="7"/>
      <c r="AK33" s="6"/>
      <c r="AL33" s="6"/>
    </row>
    <row r="34" spans="2:38" s="4" customFormat="1" ht="18" customHeight="1">
      <c r="B34" s="5"/>
      <c r="C34" s="6" t="s">
        <v>68</v>
      </c>
      <c r="D34" s="6" t="s">
        <v>68</v>
      </c>
      <c r="E34" s="6">
        <v>3</v>
      </c>
      <c r="F34" s="6"/>
      <c r="G34" s="6"/>
      <c r="H34" s="6"/>
      <c r="I34" s="6"/>
      <c r="J34" s="6"/>
      <c r="K34" s="41" t="s">
        <v>153</v>
      </c>
      <c r="L34" s="40" t="s">
        <v>105</v>
      </c>
      <c r="M34" s="7" t="s">
        <v>67</v>
      </c>
      <c r="N34" s="7"/>
      <c r="O34" s="7"/>
      <c r="P34" s="7"/>
      <c r="Q34" s="7"/>
      <c r="R34" s="7"/>
      <c r="S34" s="7"/>
      <c r="T34" s="59">
        <v>9</v>
      </c>
      <c r="U34" s="18">
        <v>1</v>
      </c>
      <c r="V34" s="18">
        <v>1</v>
      </c>
      <c r="W34" s="6">
        <v>1</v>
      </c>
      <c r="X34" s="6" t="s">
        <v>173</v>
      </c>
      <c r="Y34" s="7"/>
      <c r="Z34" s="7"/>
      <c r="AA34" s="7"/>
      <c r="AB34" s="6">
        <v>18</v>
      </c>
      <c r="AC34" s="8"/>
      <c r="AD34" s="8"/>
      <c r="AE34" s="6">
        <v>0</v>
      </c>
      <c r="AF34" s="6">
        <v>90</v>
      </c>
      <c r="AG34" s="8"/>
      <c r="AH34" s="8"/>
      <c r="AI34" s="7"/>
      <c r="AK34" s="6"/>
      <c r="AL34" s="6"/>
    </row>
    <row r="35" spans="2:38" s="4" customFormat="1" ht="18" customHeight="1">
      <c r="B35" s="5"/>
      <c r="C35" s="6" t="s">
        <v>68</v>
      </c>
      <c r="D35" s="6" t="s">
        <v>68</v>
      </c>
      <c r="E35" s="6">
        <v>3</v>
      </c>
      <c r="F35" s="6">
        <v>1</v>
      </c>
      <c r="G35" s="6"/>
      <c r="H35" s="6"/>
      <c r="I35" s="6"/>
      <c r="J35" s="6"/>
      <c r="K35" s="41" t="s">
        <v>154</v>
      </c>
      <c r="L35" s="40" t="s">
        <v>106</v>
      </c>
      <c r="M35" s="7"/>
      <c r="N35" s="7" t="s">
        <v>21</v>
      </c>
      <c r="O35" s="7"/>
      <c r="P35" s="7"/>
      <c r="Q35" s="7"/>
      <c r="R35" s="7"/>
      <c r="S35" s="7"/>
      <c r="T35" s="59">
        <v>4</v>
      </c>
      <c r="U35" s="18">
        <v>1</v>
      </c>
      <c r="V35" s="18">
        <v>1</v>
      </c>
      <c r="W35" s="6">
        <v>2</v>
      </c>
      <c r="X35" s="6" t="s">
        <v>173</v>
      </c>
      <c r="Y35" s="7"/>
      <c r="Z35" s="7"/>
      <c r="AA35" s="7"/>
      <c r="AB35" s="6">
        <v>8</v>
      </c>
      <c r="AC35" s="8"/>
      <c r="AD35" s="8"/>
      <c r="AE35" s="6">
        <v>0</v>
      </c>
      <c r="AF35" s="6">
        <v>40</v>
      </c>
      <c r="AG35" s="8"/>
      <c r="AH35" s="8"/>
      <c r="AI35" s="7"/>
      <c r="AK35" s="6"/>
      <c r="AL35" s="7"/>
    </row>
    <row r="36" spans="2:38" s="4" customFormat="1" ht="18" customHeight="1">
      <c r="B36" s="5"/>
      <c r="C36" s="6" t="s">
        <v>68</v>
      </c>
      <c r="D36" s="6" t="s">
        <v>68</v>
      </c>
      <c r="E36" s="6">
        <v>3</v>
      </c>
      <c r="F36" s="6">
        <v>1</v>
      </c>
      <c r="G36" s="6">
        <v>3</v>
      </c>
      <c r="H36" s="6"/>
      <c r="I36" s="6"/>
      <c r="J36" s="6"/>
      <c r="K36" s="41" t="s">
        <v>155</v>
      </c>
      <c r="L36" s="40" t="s">
        <v>107</v>
      </c>
      <c r="M36" s="7"/>
      <c r="N36" s="7"/>
      <c r="O36" s="7" t="s">
        <v>22</v>
      </c>
      <c r="P36" s="7"/>
      <c r="Q36" s="7"/>
      <c r="R36" s="7"/>
      <c r="S36" s="7"/>
      <c r="T36" s="59">
        <v>4</v>
      </c>
      <c r="U36" s="18">
        <v>1</v>
      </c>
      <c r="V36" s="18">
        <v>1</v>
      </c>
      <c r="W36" s="6">
        <v>1</v>
      </c>
      <c r="X36" s="6" t="s">
        <v>173</v>
      </c>
      <c r="Y36" s="7"/>
      <c r="Z36" s="7"/>
      <c r="AA36" s="7"/>
      <c r="AB36" s="6">
        <v>8</v>
      </c>
      <c r="AC36" s="8"/>
      <c r="AD36" s="8"/>
      <c r="AE36" s="6">
        <v>0</v>
      </c>
      <c r="AF36" s="6">
        <v>40</v>
      </c>
      <c r="AG36" s="8"/>
      <c r="AH36" s="8"/>
      <c r="AI36" s="7"/>
      <c r="AK36" s="6"/>
      <c r="AL36" s="6"/>
    </row>
    <row r="37" spans="2:38" s="4" customFormat="1" ht="18" customHeight="1">
      <c r="B37" s="5"/>
      <c r="C37" s="6" t="s">
        <v>68</v>
      </c>
      <c r="D37" s="6" t="s">
        <v>68</v>
      </c>
      <c r="E37" s="6">
        <v>3</v>
      </c>
      <c r="F37" s="6">
        <v>1</v>
      </c>
      <c r="G37" s="6">
        <v>3</v>
      </c>
      <c r="H37" s="6">
        <v>3</v>
      </c>
      <c r="I37" s="6"/>
      <c r="J37" s="6"/>
      <c r="K37" s="41" t="s">
        <v>156</v>
      </c>
      <c r="L37" s="40" t="s">
        <v>108</v>
      </c>
      <c r="M37" s="7"/>
      <c r="N37" s="7"/>
      <c r="O37" s="7"/>
      <c r="P37" s="7" t="s">
        <v>23</v>
      </c>
      <c r="Q37" s="7"/>
      <c r="R37" s="7"/>
      <c r="S37" s="7"/>
      <c r="T37" s="59">
        <v>3</v>
      </c>
      <c r="U37" s="18">
        <v>1</v>
      </c>
      <c r="V37" s="18">
        <v>1</v>
      </c>
      <c r="W37" s="6">
        <v>1</v>
      </c>
      <c r="X37" s="6" t="s">
        <v>173</v>
      </c>
      <c r="Y37" s="7"/>
      <c r="Z37" s="7"/>
      <c r="AA37" s="7"/>
      <c r="AB37" s="6">
        <v>6</v>
      </c>
      <c r="AC37" s="8"/>
      <c r="AD37" s="8"/>
      <c r="AE37" s="6">
        <v>0</v>
      </c>
      <c r="AF37" s="6">
        <v>30</v>
      </c>
      <c r="AG37" s="8"/>
      <c r="AH37" s="8"/>
      <c r="AI37" s="7"/>
      <c r="AK37" s="6"/>
      <c r="AL37" s="6"/>
    </row>
    <row r="38" spans="2:38" s="4" customFormat="1" ht="18" customHeight="1">
      <c r="B38" s="5"/>
      <c r="C38" s="6" t="s">
        <v>68</v>
      </c>
      <c r="D38" s="6" t="s">
        <v>68</v>
      </c>
      <c r="E38" s="6">
        <v>3</v>
      </c>
      <c r="F38" s="6">
        <v>1</v>
      </c>
      <c r="G38" s="6">
        <v>3</v>
      </c>
      <c r="H38" s="6">
        <v>3</v>
      </c>
      <c r="I38" s="6"/>
      <c r="J38" s="6">
        <v>1</v>
      </c>
      <c r="K38" s="41" t="s">
        <v>157</v>
      </c>
      <c r="L38" s="40" t="s">
        <v>109</v>
      </c>
      <c r="M38" s="7"/>
      <c r="N38" s="7"/>
      <c r="O38" s="7"/>
      <c r="P38" s="7"/>
      <c r="Q38" s="7"/>
      <c r="R38" s="7" t="s">
        <v>57</v>
      </c>
      <c r="S38" s="7"/>
      <c r="T38" s="59">
        <v>1</v>
      </c>
      <c r="U38" s="18">
        <v>1</v>
      </c>
      <c r="V38" s="18">
        <v>1</v>
      </c>
      <c r="W38" s="6">
        <v>1</v>
      </c>
      <c r="X38" s="6" t="s">
        <v>173</v>
      </c>
      <c r="Y38" s="7"/>
      <c r="Z38" s="7"/>
      <c r="AA38" s="7"/>
      <c r="AB38" s="6">
        <v>2</v>
      </c>
      <c r="AC38" s="8"/>
      <c r="AD38" s="8"/>
      <c r="AE38" s="6">
        <v>0</v>
      </c>
      <c r="AF38" s="6">
        <v>5</v>
      </c>
      <c r="AG38" s="8"/>
      <c r="AH38" s="8"/>
      <c r="AI38" s="7"/>
      <c r="AK38" s="6"/>
      <c r="AL38" s="6"/>
    </row>
    <row r="39" spans="2:38" s="4" customFormat="1" ht="18" customHeight="1">
      <c r="B39" s="5"/>
      <c r="C39" s="6" t="s">
        <v>68</v>
      </c>
      <c r="D39" s="6" t="s">
        <v>68</v>
      </c>
      <c r="E39" s="6">
        <v>3</v>
      </c>
      <c r="F39" s="6">
        <v>1</v>
      </c>
      <c r="G39" s="6">
        <v>3</v>
      </c>
      <c r="H39" s="6">
        <v>3</v>
      </c>
      <c r="I39" s="6"/>
      <c r="J39" s="6">
        <v>2</v>
      </c>
      <c r="K39" s="41" t="s">
        <v>158</v>
      </c>
      <c r="L39" s="40" t="s">
        <v>110</v>
      </c>
      <c r="M39" s="7"/>
      <c r="N39" s="7"/>
      <c r="O39" s="7"/>
      <c r="P39" s="7"/>
      <c r="Q39" s="7"/>
      <c r="R39" s="7" t="s">
        <v>56</v>
      </c>
      <c r="S39" s="7"/>
      <c r="T39" s="59">
        <v>1</v>
      </c>
      <c r="U39" s="18">
        <v>1</v>
      </c>
      <c r="V39" s="18">
        <v>1</v>
      </c>
      <c r="W39" s="6">
        <v>1</v>
      </c>
      <c r="X39" s="6" t="s">
        <v>173</v>
      </c>
      <c r="Y39" s="7"/>
      <c r="Z39" s="7"/>
      <c r="AA39" s="7"/>
      <c r="AB39" s="6">
        <v>2</v>
      </c>
      <c r="AC39" s="8"/>
      <c r="AD39" s="8"/>
      <c r="AE39" s="6">
        <v>0</v>
      </c>
      <c r="AF39" s="6">
        <v>5</v>
      </c>
      <c r="AG39" s="8"/>
      <c r="AH39" s="8"/>
      <c r="AI39" s="7"/>
      <c r="AK39" s="6"/>
      <c r="AL39" s="6"/>
    </row>
    <row r="40" spans="2:38" s="4" customFormat="1" ht="18" customHeight="1">
      <c r="B40" s="5"/>
      <c r="C40" s="6" t="s">
        <v>68</v>
      </c>
      <c r="D40" s="6" t="s">
        <v>68</v>
      </c>
      <c r="E40" s="6">
        <v>3</v>
      </c>
      <c r="F40" s="6">
        <v>1</v>
      </c>
      <c r="G40" s="6">
        <v>3</v>
      </c>
      <c r="H40" s="6">
        <v>3</v>
      </c>
      <c r="I40" s="6">
        <v>1</v>
      </c>
      <c r="J40" s="6"/>
      <c r="K40" s="41" t="s">
        <v>159</v>
      </c>
      <c r="L40" s="40" t="s">
        <v>111</v>
      </c>
      <c r="M40" s="7"/>
      <c r="N40" s="7"/>
      <c r="O40" s="7"/>
      <c r="P40" s="7"/>
      <c r="Q40" s="7" t="s">
        <v>35</v>
      </c>
      <c r="R40" s="7"/>
      <c r="S40" s="7"/>
      <c r="T40" s="59">
        <v>1</v>
      </c>
      <c r="U40" s="18">
        <v>1</v>
      </c>
      <c r="V40" s="18">
        <v>1</v>
      </c>
      <c r="W40" s="6">
        <v>1</v>
      </c>
      <c r="X40" s="6" t="s">
        <v>173</v>
      </c>
      <c r="Y40" s="7"/>
      <c r="Z40" s="7"/>
      <c r="AA40" s="7"/>
      <c r="AB40" s="6">
        <v>2</v>
      </c>
      <c r="AC40" s="8"/>
      <c r="AD40" s="8"/>
      <c r="AE40" s="6">
        <v>0</v>
      </c>
      <c r="AF40" s="6">
        <v>20</v>
      </c>
      <c r="AG40" s="8"/>
      <c r="AH40" s="8"/>
      <c r="AI40" s="7"/>
      <c r="AK40" s="6"/>
      <c r="AL40" s="6"/>
    </row>
    <row r="41" spans="2:38" s="4" customFormat="1" ht="18" customHeight="1">
      <c r="B41" s="5"/>
      <c r="C41" s="6" t="s">
        <v>68</v>
      </c>
      <c r="D41" s="6" t="s">
        <v>68</v>
      </c>
      <c r="E41" s="6">
        <v>3</v>
      </c>
      <c r="F41" s="6">
        <v>1</v>
      </c>
      <c r="G41" s="6">
        <v>3</v>
      </c>
      <c r="H41" s="6">
        <v>3</v>
      </c>
      <c r="I41" s="6">
        <v>1</v>
      </c>
      <c r="J41" s="6">
        <v>1</v>
      </c>
      <c r="K41" s="41" t="s">
        <v>160</v>
      </c>
      <c r="L41" s="40" t="s">
        <v>112</v>
      </c>
      <c r="M41" s="7"/>
      <c r="N41" s="7"/>
      <c r="O41" s="7"/>
      <c r="P41" s="7"/>
      <c r="Q41" s="7"/>
      <c r="R41" s="7" t="s">
        <v>59</v>
      </c>
      <c r="S41" s="7"/>
      <c r="T41" s="59">
        <v>1</v>
      </c>
      <c r="U41" s="18">
        <v>1</v>
      </c>
      <c r="V41" s="18">
        <v>1</v>
      </c>
      <c r="W41" s="6">
        <v>1</v>
      </c>
      <c r="X41" s="6" t="s">
        <v>173</v>
      </c>
      <c r="Y41" s="7"/>
      <c r="Z41" s="7"/>
      <c r="AA41" s="7"/>
      <c r="AB41" s="6">
        <v>2</v>
      </c>
      <c r="AC41" s="8"/>
      <c r="AD41" s="8"/>
      <c r="AE41" s="6">
        <v>0</v>
      </c>
      <c r="AF41" s="6">
        <v>20</v>
      </c>
      <c r="AG41" s="8"/>
      <c r="AH41" s="8"/>
      <c r="AI41" s="7"/>
      <c r="AK41" s="6"/>
      <c r="AL41" s="6"/>
    </row>
    <row r="42" spans="2:38" s="4" customFormat="1" ht="18" customHeight="1">
      <c r="B42" s="5"/>
      <c r="C42" s="6" t="s">
        <v>68</v>
      </c>
      <c r="D42" s="6" t="s">
        <v>68</v>
      </c>
      <c r="E42" s="6">
        <v>3</v>
      </c>
      <c r="F42" s="6">
        <v>1</v>
      </c>
      <c r="G42" s="6">
        <v>3</v>
      </c>
      <c r="H42" s="6">
        <v>4</v>
      </c>
      <c r="I42" s="6"/>
      <c r="J42" s="6"/>
      <c r="K42" s="41" t="s">
        <v>161</v>
      </c>
      <c r="L42" s="40" t="s">
        <v>113</v>
      </c>
      <c r="M42" s="7"/>
      <c r="N42" s="7"/>
      <c r="O42" s="7"/>
      <c r="P42" s="7" t="s">
        <v>23</v>
      </c>
      <c r="Q42" s="7"/>
      <c r="R42" s="7"/>
      <c r="S42" s="7"/>
      <c r="T42" s="59">
        <v>1</v>
      </c>
      <c r="U42" s="18">
        <v>1</v>
      </c>
      <c r="V42" s="18">
        <v>1</v>
      </c>
      <c r="W42" s="6">
        <v>1</v>
      </c>
      <c r="X42" s="6" t="s">
        <v>173</v>
      </c>
      <c r="Y42" s="7"/>
      <c r="Z42" s="7"/>
      <c r="AA42" s="7"/>
      <c r="AB42" s="6">
        <v>2</v>
      </c>
      <c r="AC42" s="8"/>
      <c r="AD42" s="8"/>
      <c r="AE42" s="6">
        <v>0</v>
      </c>
      <c r="AF42" s="6">
        <v>10</v>
      </c>
      <c r="AG42" s="8"/>
      <c r="AH42" s="8"/>
      <c r="AI42" s="7"/>
      <c r="AK42" s="6"/>
      <c r="AL42" s="6"/>
    </row>
    <row r="43" spans="2:38" s="4" customFormat="1" ht="18" customHeight="1">
      <c r="B43" s="5"/>
      <c r="C43" s="6" t="s">
        <v>68</v>
      </c>
      <c r="D43" s="6" t="s">
        <v>68</v>
      </c>
      <c r="E43" s="6">
        <v>3</v>
      </c>
      <c r="F43" s="6">
        <v>1</v>
      </c>
      <c r="G43" s="6">
        <v>3</v>
      </c>
      <c r="H43" s="6">
        <v>4</v>
      </c>
      <c r="I43" s="6"/>
      <c r="J43" s="6">
        <v>1</v>
      </c>
      <c r="K43" s="41" t="s">
        <v>162</v>
      </c>
      <c r="L43" s="40" t="s">
        <v>114</v>
      </c>
      <c r="M43" s="7"/>
      <c r="N43" s="7"/>
      <c r="O43" s="7"/>
      <c r="P43" s="7"/>
      <c r="Q43" s="7"/>
      <c r="R43" s="7" t="s">
        <v>57</v>
      </c>
      <c r="S43" s="7"/>
      <c r="T43" s="59">
        <v>1</v>
      </c>
      <c r="U43" s="18">
        <v>1</v>
      </c>
      <c r="V43" s="18">
        <v>1</v>
      </c>
      <c r="W43" s="6">
        <v>1</v>
      </c>
      <c r="X43" s="6" t="s">
        <v>173</v>
      </c>
      <c r="Y43" s="7"/>
      <c r="Z43" s="7"/>
      <c r="AA43" s="7"/>
      <c r="AB43" s="6">
        <v>2</v>
      </c>
      <c r="AC43" s="8"/>
      <c r="AD43" s="8"/>
      <c r="AE43" s="6">
        <v>0</v>
      </c>
      <c r="AF43" s="6">
        <v>10</v>
      </c>
      <c r="AG43" s="8"/>
      <c r="AH43" s="8"/>
      <c r="AI43" s="7"/>
      <c r="AK43" s="6"/>
      <c r="AL43" s="6"/>
    </row>
    <row r="44" spans="2:38" s="4" customFormat="1" ht="18" customHeight="1">
      <c r="B44" s="5"/>
      <c r="C44" s="6" t="s">
        <v>68</v>
      </c>
      <c r="D44" s="6" t="s">
        <v>68</v>
      </c>
      <c r="E44" s="6">
        <v>3</v>
      </c>
      <c r="F44" s="6">
        <v>2</v>
      </c>
      <c r="G44" s="6"/>
      <c r="H44" s="6"/>
      <c r="I44" s="6"/>
      <c r="J44" s="6"/>
      <c r="K44" s="41" t="s">
        <v>163</v>
      </c>
      <c r="L44" s="40" t="s">
        <v>115</v>
      </c>
      <c r="M44" s="7"/>
      <c r="N44" s="7" t="s">
        <v>21</v>
      </c>
      <c r="O44" s="7"/>
      <c r="P44" s="7"/>
      <c r="Q44" s="7"/>
      <c r="R44" s="7"/>
      <c r="S44" s="7"/>
      <c r="T44" s="59">
        <v>5</v>
      </c>
      <c r="U44" s="18">
        <v>1</v>
      </c>
      <c r="V44" s="18">
        <v>1</v>
      </c>
      <c r="W44" s="6">
        <v>1</v>
      </c>
      <c r="X44" s="6" t="s">
        <v>173</v>
      </c>
      <c r="Y44" s="7"/>
      <c r="Z44" s="7"/>
      <c r="AA44" s="7"/>
      <c r="AB44" s="6">
        <v>10</v>
      </c>
      <c r="AC44" s="8"/>
      <c r="AD44" s="8"/>
      <c r="AE44" s="6">
        <v>0</v>
      </c>
      <c r="AF44" s="6">
        <v>50</v>
      </c>
      <c r="AG44" s="8"/>
      <c r="AH44" s="8"/>
      <c r="AI44" s="7"/>
      <c r="AK44" s="6"/>
      <c r="AL44" s="6"/>
    </row>
    <row r="45" spans="2:38" s="4" customFormat="1" ht="18" customHeight="1">
      <c r="B45" s="5"/>
      <c r="C45" s="6" t="s">
        <v>68</v>
      </c>
      <c r="D45" s="6" t="s">
        <v>68</v>
      </c>
      <c r="E45" s="6">
        <v>3</v>
      </c>
      <c r="F45" s="6">
        <v>2</v>
      </c>
      <c r="G45" s="6">
        <v>1</v>
      </c>
      <c r="H45" s="6"/>
      <c r="I45" s="6"/>
      <c r="J45" s="6"/>
      <c r="K45" s="41" t="s">
        <v>164</v>
      </c>
      <c r="L45" s="40" t="s">
        <v>116</v>
      </c>
      <c r="M45" s="7"/>
      <c r="N45" s="7"/>
      <c r="O45" s="7" t="s">
        <v>22</v>
      </c>
      <c r="P45" s="7"/>
      <c r="Q45" s="7"/>
      <c r="R45" s="7"/>
      <c r="S45" s="7"/>
      <c r="T45" s="59">
        <v>5</v>
      </c>
      <c r="U45" s="18">
        <v>1</v>
      </c>
      <c r="V45" s="18">
        <v>1</v>
      </c>
      <c r="W45" s="6">
        <v>1</v>
      </c>
      <c r="X45" s="6" t="s">
        <v>173</v>
      </c>
      <c r="Y45" s="7"/>
      <c r="Z45" s="7"/>
      <c r="AA45" s="7"/>
      <c r="AB45" s="6">
        <v>10</v>
      </c>
      <c r="AC45" s="8"/>
      <c r="AD45" s="8"/>
      <c r="AE45" s="6">
        <v>0</v>
      </c>
      <c r="AF45" s="6">
        <v>50</v>
      </c>
      <c r="AG45" s="8"/>
      <c r="AH45" s="8"/>
      <c r="AI45" s="7"/>
      <c r="AK45" s="6"/>
      <c r="AL45" s="6"/>
    </row>
    <row r="46" spans="2:38" s="4" customFormat="1" ht="18" customHeight="1">
      <c r="B46" s="5"/>
      <c r="C46" s="6" t="s">
        <v>68</v>
      </c>
      <c r="D46" s="6" t="s">
        <v>68</v>
      </c>
      <c r="E46" s="6">
        <v>3</v>
      </c>
      <c r="F46" s="6">
        <v>2</v>
      </c>
      <c r="G46" s="6">
        <v>1</v>
      </c>
      <c r="H46" s="6">
        <v>1</v>
      </c>
      <c r="I46" s="6"/>
      <c r="J46" s="6"/>
      <c r="K46" s="41" t="s">
        <v>165</v>
      </c>
      <c r="L46" s="40" t="s">
        <v>117</v>
      </c>
      <c r="M46" s="7"/>
      <c r="N46" s="7"/>
      <c r="O46" s="7"/>
      <c r="P46" s="7" t="s">
        <v>23</v>
      </c>
      <c r="Q46" s="7"/>
      <c r="R46" s="7"/>
      <c r="S46" s="7"/>
      <c r="T46" s="59">
        <v>5</v>
      </c>
      <c r="U46" s="18">
        <v>1</v>
      </c>
      <c r="V46" s="18">
        <v>1</v>
      </c>
      <c r="W46" s="6">
        <v>1</v>
      </c>
      <c r="X46" s="6" t="s">
        <v>173</v>
      </c>
      <c r="Y46" s="7"/>
      <c r="Z46" s="7"/>
      <c r="AA46" s="7"/>
      <c r="AB46" s="6">
        <v>10</v>
      </c>
      <c r="AC46" s="8"/>
      <c r="AD46" s="8"/>
      <c r="AE46" s="6">
        <v>0</v>
      </c>
      <c r="AF46" s="6">
        <v>50</v>
      </c>
      <c r="AG46" s="8"/>
      <c r="AH46" s="8"/>
      <c r="AI46" s="7"/>
      <c r="AK46" s="6"/>
      <c r="AL46" s="6"/>
    </row>
    <row r="47" spans="2:38" s="4" customFormat="1" ht="18" customHeight="1">
      <c r="B47" s="5"/>
      <c r="C47" s="6" t="s">
        <v>68</v>
      </c>
      <c r="D47" s="6" t="s">
        <v>68</v>
      </c>
      <c r="E47" s="6">
        <v>3</v>
      </c>
      <c r="F47" s="6">
        <v>2</v>
      </c>
      <c r="G47" s="6">
        <v>1</v>
      </c>
      <c r="H47" s="6">
        <v>1</v>
      </c>
      <c r="I47" s="6">
        <v>1</v>
      </c>
      <c r="J47" s="6"/>
      <c r="K47" s="41" t="s">
        <v>166</v>
      </c>
      <c r="L47" s="40" t="s">
        <v>118</v>
      </c>
      <c r="M47" s="7"/>
      <c r="N47" s="7"/>
      <c r="O47" s="7"/>
      <c r="P47" s="7"/>
      <c r="Q47" s="7" t="s">
        <v>35</v>
      </c>
      <c r="R47" s="7"/>
      <c r="S47" s="7"/>
      <c r="T47" s="59">
        <v>2</v>
      </c>
      <c r="U47" s="18">
        <v>1</v>
      </c>
      <c r="V47" s="18">
        <v>1</v>
      </c>
      <c r="W47" s="6">
        <v>1</v>
      </c>
      <c r="X47" s="6" t="s">
        <v>173</v>
      </c>
      <c r="Y47" s="7"/>
      <c r="Z47" s="7"/>
      <c r="AA47" s="7"/>
      <c r="AB47" s="6">
        <v>4</v>
      </c>
      <c r="AC47" s="8"/>
      <c r="AD47" s="8"/>
      <c r="AE47" s="6">
        <v>0</v>
      </c>
      <c r="AF47" s="6">
        <v>10</v>
      </c>
      <c r="AG47" s="8"/>
      <c r="AH47" s="8"/>
      <c r="AI47" s="7"/>
      <c r="AK47" s="6"/>
      <c r="AL47" s="6"/>
    </row>
    <row r="48" spans="2:38" s="4" customFormat="1" ht="18" customHeight="1">
      <c r="B48" s="5"/>
      <c r="C48" s="6" t="s">
        <v>68</v>
      </c>
      <c r="D48" s="6" t="s">
        <v>68</v>
      </c>
      <c r="E48" s="6">
        <v>3</v>
      </c>
      <c r="F48" s="6">
        <v>2</v>
      </c>
      <c r="G48" s="6">
        <v>1</v>
      </c>
      <c r="H48" s="6">
        <v>1</v>
      </c>
      <c r="I48" s="6">
        <v>1</v>
      </c>
      <c r="J48" s="6">
        <v>1</v>
      </c>
      <c r="K48" s="41" t="s">
        <v>167</v>
      </c>
      <c r="L48" s="40" t="s">
        <v>119</v>
      </c>
      <c r="M48" s="7"/>
      <c r="N48" s="7"/>
      <c r="O48" s="7"/>
      <c r="P48" s="7"/>
      <c r="Q48" s="7"/>
      <c r="R48" s="7" t="s">
        <v>59</v>
      </c>
      <c r="S48" s="7"/>
      <c r="T48" s="59">
        <v>1</v>
      </c>
      <c r="U48" s="18">
        <v>1</v>
      </c>
      <c r="V48" s="18">
        <v>1</v>
      </c>
      <c r="W48" s="6">
        <v>1</v>
      </c>
      <c r="X48" s="6" t="s">
        <v>173</v>
      </c>
      <c r="Y48" s="7"/>
      <c r="Z48" s="7"/>
      <c r="AA48" s="7"/>
      <c r="AB48" s="6">
        <v>2</v>
      </c>
      <c r="AC48" s="8"/>
      <c r="AD48" s="8"/>
      <c r="AE48" s="6">
        <v>0</v>
      </c>
      <c r="AF48" s="6">
        <v>8</v>
      </c>
      <c r="AG48" s="8"/>
      <c r="AH48" s="8"/>
      <c r="AI48" s="7"/>
      <c r="AK48" s="6"/>
      <c r="AL48" s="6"/>
    </row>
    <row r="49" spans="1:38" s="4" customFormat="1" ht="18" customHeight="1">
      <c r="B49" s="5"/>
      <c r="C49" s="6" t="s">
        <v>68</v>
      </c>
      <c r="D49" s="6" t="s">
        <v>68</v>
      </c>
      <c r="E49" s="6">
        <v>3</v>
      </c>
      <c r="F49" s="6">
        <v>2</v>
      </c>
      <c r="G49" s="6">
        <v>1</v>
      </c>
      <c r="H49" s="6">
        <v>1</v>
      </c>
      <c r="I49" s="6">
        <v>1</v>
      </c>
      <c r="J49" s="6">
        <v>2</v>
      </c>
      <c r="K49" s="41" t="s">
        <v>168</v>
      </c>
      <c r="L49" s="40" t="s">
        <v>120</v>
      </c>
      <c r="M49" s="7"/>
      <c r="N49" s="7"/>
      <c r="O49" s="7"/>
      <c r="P49" s="7"/>
      <c r="Q49" s="7"/>
      <c r="R49" s="7" t="s">
        <v>60</v>
      </c>
      <c r="S49" s="7"/>
      <c r="T49" s="59">
        <v>1</v>
      </c>
      <c r="U49" s="18">
        <v>1</v>
      </c>
      <c r="V49" s="18">
        <v>1</v>
      </c>
      <c r="W49" s="6">
        <v>2</v>
      </c>
      <c r="X49" s="6" t="s">
        <v>173</v>
      </c>
      <c r="Y49" s="7"/>
      <c r="Z49" s="7"/>
      <c r="AA49" s="7"/>
      <c r="AB49" s="6">
        <v>2</v>
      </c>
      <c r="AC49" s="8"/>
      <c r="AD49" s="8"/>
      <c r="AE49" s="6">
        <v>0</v>
      </c>
      <c r="AF49" s="6">
        <v>2</v>
      </c>
      <c r="AG49" s="8"/>
      <c r="AH49" s="8"/>
      <c r="AI49" s="7"/>
      <c r="AK49" s="6"/>
      <c r="AL49" s="6"/>
    </row>
    <row r="50" spans="1:38" s="4" customFormat="1" ht="18" customHeight="1">
      <c r="B50" s="5"/>
      <c r="C50" s="6" t="s">
        <v>68</v>
      </c>
      <c r="D50" s="6" t="s">
        <v>68</v>
      </c>
      <c r="E50" s="6">
        <v>3</v>
      </c>
      <c r="F50" s="6">
        <v>2</v>
      </c>
      <c r="G50" s="6">
        <v>1</v>
      </c>
      <c r="H50" s="6">
        <v>1</v>
      </c>
      <c r="I50" s="6">
        <v>2</v>
      </c>
      <c r="J50" s="6"/>
      <c r="K50" s="41" t="s">
        <v>169</v>
      </c>
      <c r="L50" s="40" t="s">
        <v>121</v>
      </c>
      <c r="M50" s="7"/>
      <c r="N50" s="7"/>
      <c r="O50" s="7"/>
      <c r="P50" s="7"/>
      <c r="Q50" s="7" t="s">
        <v>35</v>
      </c>
      <c r="R50" s="7"/>
      <c r="S50" s="7"/>
      <c r="T50" s="59">
        <v>3</v>
      </c>
      <c r="U50" s="18">
        <v>1</v>
      </c>
      <c r="V50" s="18">
        <v>1</v>
      </c>
      <c r="W50" s="6">
        <v>1</v>
      </c>
      <c r="X50" s="6" t="s">
        <v>173</v>
      </c>
      <c r="Y50" s="7"/>
      <c r="Z50" s="7"/>
      <c r="AA50" s="7"/>
      <c r="AB50" s="6">
        <v>6</v>
      </c>
      <c r="AC50" s="8"/>
      <c r="AD50" s="8"/>
      <c r="AE50" s="6">
        <v>0</v>
      </c>
      <c r="AF50" s="6">
        <v>40</v>
      </c>
      <c r="AG50" s="8"/>
      <c r="AH50" s="8"/>
      <c r="AI50" s="7"/>
      <c r="AK50" s="6"/>
      <c r="AL50" s="6"/>
    </row>
    <row r="51" spans="1:38" s="4" customFormat="1" ht="18" customHeight="1">
      <c r="B51" s="5"/>
      <c r="C51" s="6" t="s">
        <v>68</v>
      </c>
      <c r="D51" s="6" t="s">
        <v>68</v>
      </c>
      <c r="E51" s="6">
        <v>3</v>
      </c>
      <c r="F51" s="6">
        <v>2</v>
      </c>
      <c r="G51" s="6">
        <v>1</v>
      </c>
      <c r="H51" s="6">
        <v>1</v>
      </c>
      <c r="I51" s="6">
        <v>2</v>
      </c>
      <c r="J51" s="6">
        <v>1</v>
      </c>
      <c r="K51" s="41" t="s">
        <v>170</v>
      </c>
      <c r="L51" s="40" t="s">
        <v>122</v>
      </c>
      <c r="M51" s="7"/>
      <c r="N51" s="7"/>
      <c r="O51" s="7"/>
      <c r="P51" s="7"/>
      <c r="Q51" s="7"/>
      <c r="R51" s="7" t="s">
        <v>59</v>
      </c>
      <c r="S51" s="7"/>
      <c r="T51" s="59">
        <v>1</v>
      </c>
      <c r="U51" s="18">
        <v>1</v>
      </c>
      <c r="V51" s="18">
        <v>1</v>
      </c>
      <c r="W51" s="6">
        <v>1</v>
      </c>
      <c r="X51" s="6" t="s">
        <v>173</v>
      </c>
      <c r="Y51" s="7"/>
      <c r="Z51" s="7"/>
      <c r="AA51" s="7"/>
      <c r="AB51" s="6">
        <v>2</v>
      </c>
      <c r="AC51" s="8"/>
      <c r="AD51" s="8"/>
      <c r="AE51" s="6">
        <v>0</v>
      </c>
      <c r="AF51" s="6">
        <v>10</v>
      </c>
      <c r="AG51" s="8"/>
      <c r="AH51" s="8"/>
      <c r="AI51" s="7"/>
      <c r="AK51" s="6"/>
      <c r="AL51" s="6"/>
    </row>
    <row r="52" spans="1:38" s="4" customFormat="1" ht="18" customHeight="1">
      <c r="B52" s="5"/>
      <c r="C52" s="6" t="s">
        <v>68</v>
      </c>
      <c r="D52" s="6" t="s">
        <v>68</v>
      </c>
      <c r="E52" s="6">
        <v>3</v>
      </c>
      <c r="F52" s="6">
        <v>2</v>
      </c>
      <c r="G52" s="6">
        <v>1</v>
      </c>
      <c r="H52" s="6">
        <v>1</v>
      </c>
      <c r="I52" s="6">
        <v>2</v>
      </c>
      <c r="J52" s="6">
        <v>2</v>
      </c>
      <c r="K52" s="41" t="s">
        <v>171</v>
      </c>
      <c r="L52" s="40" t="s">
        <v>123</v>
      </c>
      <c r="M52" s="7"/>
      <c r="N52" s="7"/>
      <c r="O52" s="7"/>
      <c r="P52" s="7"/>
      <c r="Q52" s="7"/>
      <c r="R52" s="7" t="s">
        <v>60</v>
      </c>
      <c r="S52" s="7"/>
      <c r="T52" s="59">
        <v>1</v>
      </c>
      <c r="U52" s="18">
        <v>1</v>
      </c>
      <c r="V52" s="18">
        <v>1</v>
      </c>
      <c r="W52" s="6">
        <v>1</v>
      </c>
      <c r="X52" s="6" t="s">
        <v>173</v>
      </c>
      <c r="Y52" s="7"/>
      <c r="Z52" s="7"/>
      <c r="AA52" s="7"/>
      <c r="AB52" s="6">
        <v>2</v>
      </c>
      <c r="AC52" s="8"/>
      <c r="AD52" s="8"/>
      <c r="AE52" s="6">
        <v>0</v>
      </c>
      <c r="AF52" s="6">
        <v>10</v>
      </c>
      <c r="AG52" s="8"/>
      <c r="AH52" s="8"/>
      <c r="AI52" s="7"/>
      <c r="AK52" s="6"/>
      <c r="AL52" s="6"/>
    </row>
    <row r="53" spans="1:38" s="4" customFormat="1" ht="18" customHeight="1">
      <c r="B53" s="5"/>
      <c r="C53" s="6" t="s">
        <v>68</v>
      </c>
      <c r="D53" s="6" t="s">
        <v>68</v>
      </c>
      <c r="E53" s="6">
        <v>3</v>
      </c>
      <c r="F53" s="6">
        <v>2</v>
      </c>
      <c r="G53" s="6">
        <v>1</v>
      </c>
      <c r="H53" s="6">
        <v>1</v>
      </c>
      <c r="I53" s="6">
        <v>2</v>
      </c>
      <c r="J53" s="6">
        <v>3</v>
      </c>
      <c r="K53" s="41" t="s">
        <v>172</v>
      </c>
      <c r="L53" s="40" t="s">
        <v>124</v>
      </c>
      <c r="M53" s="7"/>
      <c r="N53" s="7"/>
      <c r="O53" s="7"/>
      <c r="P53" s="7"/>
      <c r="Q53" s="7"/>
      <c r="R53" s="7" t="s">
        <v>61</v>
      </c>
      <c r="S53" s="7"/>
      <c r="T53" s="59">
        <v>1</v>
      </c>
      <c r="U53" s="18">
        <v>1</v>
      </c>
      <c r="V53" s="18">
        <v>1</v>
      </c>
      <c r="W53" s="6">
        <v>1</v>
      </c>
      <c r="X53" s="6" t="s">
        <v>173</v>
      </c>
      <c r="Y53" s="7"/>
      <c r="Z53" s="7"/>
      <c r="AA53" s="7"/>
      <c r="AB53" s="6">
        <v>2</v>
      </c>
      <c r="AC53" s="8"/>
      <c r="AD53" s="8"/>
      <c r="AE53" s="6">
        <v>0</v>
      </c>
      <c r="AF53" s="6">
        <v>20</v>
      </c>
      <c r="AG53" s="8"/>
      <c r="AH53" s="8"/>
      <c r="AI53" s="7"/>
      <c r="AK53" s="6"/>
      <c r="AL53" s="6"/>
    </row>
    <row r="54" spans="1:38" s="4" customFormat="1" ht="18" customHeight="1">
      <c r="A54" s="43" t="s">
        <v>14</v>
      </c>
      <c r="C54" s="5"/>
      <c r="D54" s="5"/>
      <c r="E54" s="36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 t="s">
        <v>75</v>
      </c>
      <c r="U54" s="35" t="s">
        <v>71</v>
      </c>
      <c r="V54" s="35" t="s">
        <v>71</v>
      </c>
      <c r="W54" s="35"/>
      <c r="X54" s="35"/>
      <c r="Y54" s="35"/>
      <c r="Z54" s="35"/>
      <c r="AA54" s="35"/>
      <c r="AB54" s="35" t="s">
        <v>70</v>
      </c>
      <c r="AC54" s="35"/>
      <c r="AD54" s="35"/>
      <c r="AE54" s="35" t="s">
        <v>70</v>
      </c>
      <c r="AF54" s="35" t="s">
        <v>70</v>
      </c>
      <c r="AG54" s="35"/>
      <c r="AH54" s="35"/>
      <c r="AI54" s="37"/>
      <c r="AK54" s="6"/>
      <c r="AL54" s="6"/>
    </row>
    <row r="55" spans="1:38" s="26" customFormat="1" ht="18" customHeight="1">
      <c r="S55" s="29"/>
      <c r="T55" s="57">
        <v>29</v>
      </c>
      <c r="U55" s="58">
        <v>1</v>
      </c>
      <c r="V55" s="58">
        <v>1</v>
      </c>
      <c r="AA55" s="29"/>
      <c r="AB55" s="27">
        <v>58</v>
      </c>
      <c r="AE55" s="38">
        <v>0</v>
      </c>
      <c r="AF55" s="38">
        <v>790</v>
      </c>
      <c r="AK55" s="33"/>
      <c r="AL55" s="33"/>
    </row>
    <row r="56" spans="1:38" s="26" customFormat="1" ht="15" customHeight="1">
      <c r="Y56" s="28"/>
      <c r="AK56" s="33"/>
      <c r="AL56" s="33"/>
    </row>
    <row r="57" spans="1:38" s="26" customFormat="1" ht="15" customHeight="1">
      <c r="AK57" s="33"/>
      <c r="AL57" s="33"/>
    </row>
    <row r="76" spans="3:3" ht="15.75">
      <c r="C76" s="28"/>
    </row>
  </sheetData>
  <sortState xmlns:xlrd2="http://schemas.microsoft.com/office/spreadsheetml/2017/richdata2" ref="B6:AI53">
    <sortCondition ref="K6"/>
  </sortState>
  <dataConsolidate/>
  <phoneticPr fontId="1"/>
  <conditionalFormatting sqref="E6:AI53">
    <cfRule type="expression" dxfId="103" priority="13">
      <formula>AND(ISNUMBER($E6),$J6="")</formula>
    </cfRule>
    <cfRule type="expression" dxfId="102" priority="59">
      <formula>$A6=""</formula>
    </cfRule>
    <cfRule type="expression" dxfId="101" priority="60">
      <formula>AND($X6="完了",$J6="")</formula>
    </cfRule>
    <cfRule type="expression" dxfId="100" priority="61">
      <formula>AND($X6="完了",$J6&lt;&gt;"")</formula>
    </cfRule>
    <cfRule type="expression" dxfId="99" priority="62">
      <formula>$X6="未着手"</formula>
    </cfRule>
    <cfRule type="expression" dxfId="98" priority="63">
      <formula>$X6="保留"</formula>
    </cfRule>
    <cfRule type="expression" dxfId="97" priority="70">
      <formula>$X6="着手中"</formula>
    </cfRule>
  </conditionalFormatting>
  <conditionalFormatting sqref="C4:AI5">
    <cfRule type="expression" dxfId="96" priority="72">
      <formula>OR($A4="@",$A5="@")</formula>
    </cfRule>
  </conditionalFormatting>
  <conditionalFormatting sqref="C54:AI54">
    <cfRule type="expression" dxfId="95" priority="71">
      <formula>$A54="$"</formula>
    </cfRule>
  </conditionalFormatting>
  <conditionalFormatting sqref="C6:D53 U6:AI53">
    <cfRule type="expression" dxfId="94" priority="49">
      <formula>$A6=""</formula>
    </cfRule>
  </conditionalFormatting>
  <conditionalFormatting sqref="E6:E53">
    <cfRule type="expression" dxfId="93" priority="25">
      <formula>AND(NOT(ISNUMBER($E6)),ISNUMBER($F6))</formula>
    </cfRule>
    <cfRule type="expression" dxfId="92" priority="57">
      <formula>$A6=""</formula>
    </cfRule>
  </conditionalFormatting>
  <conditionalFormatting sqref="F6:F53">
    <cfRule type="expression" dxfId="91" priority="24">
      <formula>AND(NOT(ISNUMBER($F6)),ISNUMBER($G6))</formula>
    </cfRule>
    <cfRule type="expression" dxfId="90" priority="56">
      <formula>$A6=""</formula>
    </cfRule>
  </conditionalFormatting>
  <conditionalFormatting sqref="G6:I53">
    <cfRule type="expression" dxfId="89" priority="55">
      <formula>$A6=""</formula>
    </cfRule>
  </conditionalFormatting>
  <conditionalFormatting sqref="J6:J53">
    <cfRule type="expression" dxfId="88" priority="52">
      <formula>$A6=""</formula>
    </cfRule>
  </conditionalFormatting>
  <conditionalFormatting sqref="B6:B53">
    <cfRule type="cellIs" dxfId="87" priority="53" operator="equal">
      <formula>"E"</formula>
    </cfRule>
  </conditionalFormatting>
  <conditionalFormatting sqref="K6:K53">
    <cfRule type="expression" dxfId="86" priority="50">
      <formula>$K6&lt;&gt;""</formula>
    </cfRule>
  </conditionalFormatting>
  <conditionalFormatting sqref="V6:V53">
    <cfRule type="expression" dxfId="85" priority="12">
      <formula>AND($J6="",$V6&lt;&gt;"")</formula>
    </cfRule>
    <cfRule type="expression" dxfId="84" priority="14">
      <formula>AND($J6&lt;&gt;"",$X6="完了",$V6&lt;&gt;100%)</formula>
    </cfRule>
    <cfRule type="expression" dxfId="83" priority="34">
      <formula>AND($J6&lt;&gt;"",$V6="")</formula>
    </cfRule>
  </conditionalFormatting>
  <conditionalFormatting sqref="E6:J53">
    <cfRule type="expression" dxfId="82" priority="100">
      <formula>$A6=""</formula>
    </cfRule>
  </conditionalFormatting>
  <conditionalFormatting sqref="G6:G53">
    <cfRule type="expression" dxfId="81" priority="22">
      <formula>AND(NOT(ISNUMBER($G6)),ISNUMBER($H6))</formula>
    </cfRule>
  </conditionalFormatting>
  <conditionalFormatting sqref="H6:H53">
    <cfRule type="expression" dxfId="80" priority="21">
      <formula>AND(NOT(ISNUMBER($H6)),ISNUMBER($I6))</formula>
    </cfRule>
  </conditionalFormatting>
  <conditionalFormatting sqref="AB6:AB53">
    <cfRule type="expression" dxfId="79" priority="11">
      <formula>AND($J6="",$AB6&lt;&gt;"")</formula>
    </cfRule>
    <cfRule type="expression" dxfId="78" priority="41">
      <formula>AND($J6&lt;&gt;"",$AB6="")</formula>
    </cfRule>
  </conditionalFormatting>
  <conditionalFormatting sqref="M6:M53">
    <cfRule type="expression" dxfId="77" priority="42">
      <formula>AND(ISNUMBER($E6),$F6="",$G6="",$H6="",$I6="",$J6="",$M6="")</formula>
    </cfRule>
  </conditionalFormatting>
  <conditionalFormatting sqref="N6:N53">
    <cfRule type="expression" dxfId="76" priority="29">
      <formula>AND(ISNUMBER($E6),ISNUMBER($F6),$G6="",$H6="",$I6="",$J6="",$N6="")</formula>
    </cfRule>
  </conditionalFormatting>
  <conditionalFormatting sqref="O6:O53">
    <cfRule type="expression" dxfId="75" priority="40">
      <formula>AND(ISNUMBER($E6),ISNUMBER($F6),ISNUMBER($G6),$H6="",$I6="",$J6="",$O6="")</formula>
    </cfRule>
  </conditionalFormatting>
  <conditionalFormatting sqref="P6:P53">
    <cfRule type="expression" dxfId="74" priority="39">
      <formula>AND(ISNUMBER($E6),ISNUMBER($F6),ISNUMBER($G6),ISNUMBER($H6),$I6="",$J6="",$P6="")</formula>
    </cfRule>
  </conditionalFormatting>
  <conditionalFormatting sqref="Q6:Q53">
    <cfRule type="expression" dxfId="73" priority="38">
      <formula>AND(ISNUMBER($E6),ISNUMBER($F6),ISNUMBER($G6),ISNUMBER($H6),ISNUMBER($I6),$J6="",$Q6="")</formula>
    </cfRule>
  </conditionalFormatting>
  <conditionalFormatting sqref="R6:R53">
    <cfRule type="expression" dxfId="72" priority="37">
      <formula>AND(ISNUMBER($J6),$R6="")</formula>
    </cfRule>
  </conditionalFormatting>
  <conditionalFormatting sqref="AA6:AA53">
    <cfRule type="expression" dxfId="71" priority="36">
      <formula>AND(ISNUMBER($J6),$AA6="")</formula>
    </cfRule>
  </conditionalFormatting>
  <conditionalFormatting sqref="AE6:AF53">
    <cfRule type="expression" dxfId="70" priority="20">
      <formula>AND($X6="完了",$AE6="")</formula>
    </cfRule>
  </conditionalFormatting>
  <conditionalFormatting sqref="AG6:AG53">
    <cfRule type="expression" dxfId="69" priority="18">
      <formula>AND($X6="完了",$AG6="")</formula>
    </cfRule>
  </conditionalFormatting>
  <conditionalFormatting sqref="AH6:AH53">
    <cfRule type="expression" dxfId="68" priority="15">
      <formula>AND($X6="完了",$AH6="")</formula>
    </cfRule>
  </conditionalFormatting>
  <conditionalFormatting sqref="C6:AI53">
    <cfRule type="expression" dxfId="67" priority="43">
      <formula>AND($E6&lt;&gt;"",$X6="削除")</formula>
    </cfRule>
    <cfRule type="expression" dxfId="66" priority="44">
      <formula>AND(ISNUMBER($E6),ISNUMBER($F6),ISNUMBER($G6),ISNUMBER($H6),$I6="",$J6="")</formula>
    </cfRule>
    <cfRule type="expression" dxfId="65" priority="45">
      <formula>AND(ISNUMBER($E6),ISNUMBER($F6),ISNUMBER($G6),ISNUMBER($H6),ISNUMBER($I6),$J6="")</formula>
    </cfRule>
    <cfRule type="expression" dxfId="64" priority="47">
      <formula>AND(ISNUMBER($E6),ISNUMBER($F6),ISNUMBER($G6),$H6="",$I6="",$J6="")</formula>
    </cfRule>
    <cfRule type="expression" dxfId="63" priority="48">
      <formula>AND(ISNUMBER($E6),ISNUMBER($F6),$G6="",$H6="",$I6="",$J6="")</formula>
    </cfRule>
    <cfRule type="expression" dxfId="62" priority="51">
      <formula>AND(ISNUMBER($E6),$F6="",$G6="",$H6="",$I6="",$J6="")</formula>
    </cfRule>
  </conditionalFormatting>
  <conditionalFormatting sqref="Y6:Y53">
    <cfRule type="expression" dxfId="61" priority="32">
      <formula>AND($J6&lt;&gt;"",$Y6="")</formula>
    </cfRule>
  </conditionalFormatting>
  <conditionalFormatting sqref="Z6:Z53">
    <cfRule type="expression" dxfId="60" priority="31">
      <formula>AND($J6&lt;&gt;"",$Z6="")</formula>
    </cfRule>
  </conditionalFormatting>
  <conditionalFormatting sqref="AK4:AL5">
    <cfRule type="expression" dxfId="59" priority="27">
      <formula>TRUE</formula>
    </cfRule>
  </conditionalFormatting>
  <conditionalFormatting sqref="U55:V55">
    <cfRule type="expression" dxfId="58" priority="17">
      <formula>TRUE</formula>
    </cfRule>
  </conditionalFormatting>
  <conditionalFormatting sqref="AB55">
    <cfRule type="expression" dxfId="57" priority="16">
      <formula>TRUE</formula>
    </cfRule>
  </conditionalFormatting>
  <conditionalFormatting sqref="AE6:AE53">
    <cfRule type="expression" dxfId="56" priority="10">
      <formula>AND($J6="",$AE6&lt;&gt;"")</formula>
    </cfRule>
    <cfRule type="expression" dxfId="55" priority="30">
      <formula>AND($J6&lt;&gt;"",$AE6="")</formula>
    </cfRule>
  </conditionalFormatting>
  <conditionalFormatting sqref="AF6:AF53">
    <cfRule type="expression" dxfId="54" priority="9">
      <formula>AND($J6="",$AF6&lt;&gt;"")</formula>
    </cfRule>
    <cfRule type="expression" dxfId="53" priority="28">
      <formula>AND($J6&lt;&gt;"",$AF6="")</formula>
    </cfRule>
  </conditionalFormatting>
  <conditionalFormatting sqref="AE55:AF55">
    <cfRule type="expression" dxfId="52" priority="8">
      <formula>TRUE</formula>
    </cfRule>
  </conditionalFormatting>
  <conditionalFormatting sqref="U6:U53">
    <cfRule type="expression" dxfId="51" priority="6">
      <formula>$U6&lt;&gt;""</formula>
    </cfRule>
  </conditionalFormatting>
  <conditionalFormatting sqref="B5">
    <cfRule type="expression" dxfId="50" priority="4">
      <formula>$A5&lt;&gt;"@"</formula>
    </cfRule>
  </conditionalFormatting>
  <conditionalFormatting sqref="B54">
    <cfRule type="expression" dxfId="49" priority="3">
      <formula>$A54&lt;&gt;"$"</formula>
    </cfRule>
  </conditionalFormatting>
  <conditionalFormatting sqref="T55">
    <cfRule type="expression" dxfId="48" priority="2">
      <formula>TRUE</formula>
    </cfRule>
  </conditionalFormatting>
  <conditionalFormatting sqref="T6:T53">
    <cfRule type="expression" dxfId="47" priority="1">
      <formula>$J6&lt;&gt;""</formula>
    </cfRule>
  </conditionalFormatting>
  <dataValidations count="9">
    <dataValidation type="whole" allowBlank="1" showInputMessage="1" showErrorMessage="1" sqref="E6:J53" xr:uid="{FE7F53FF-EE55-4CBC-9DA3-BF16AB8BE815}">
      <formula1>1</formula1>
      <formula2>999</formula2>
    </dataValidation>
    <dataValidation type="whole" allowBlank="1" showInputMessage="1" showErrorMessage="1" sqref="W6:W53" xr:uid="{04271D7D-63D0-44C2-986D-7726BC97A16C}">
      <formula1>1</formula1>
      <formula2>99</formula2>
    </dataValidation>
    <dataValidation type="list" allowBlank="1" showInputMessage="1" showErrorMessage="1" sqref="X6:X53" xr:uid="{58A8ED44-E2E5-4BCC-82CB-B3259CAC93EE}">
      <formula1>"-,未着手,着手中,保留,移管済,棚上げ,却下,完了,削除"</formula1>
    </dataValidation>
    <dataValidation type="decimal" allowBlank="1" showInputMessage="1" showErrorMessage="1" sqref="U6:V53" xr:uid="{9302DED4-6D70-4C5C-B1C9-754C1269DC0A}">
      <formula1>0</formula1>
      <formula2>100</formula2>
    </dataValidation>
    <dataValidation type="decimal" operator="greaterThanOrEqual" allowBlank="1" showInputMessage="1" showErrorMessage="1" sqref="AB6:AB53 AE6:AF53" xr:uid="{E62FD696-B6F0-4AD3-ADDC-545D898DD4D2}">
      <formula1>0</formula1>
    </dataValidation>
    <dataValidation type="list" allowBlank="1" showInputMessage="1" showErrorMessage="1" sqref="Y6:Y53" xr:uid="{8F7DCC5D-5C7A-4083-9384-C33A9BEB2744}">
      <formula1>$AK$6:$AK$8</formula1>
    </dataValidation>
    <dataValidation type="list" allowBlank="1" showInputMessage="1" showErrorMessage="1" sqref="Z6:Z53" xr:uid="{BEE938FD-2840-4EC6-A23B-690DF6B234ED}">
      <formula1>$AL$6:$AL$14</formula1>
    </dataValidation>
    <dataValidation type="list" showDropDown="1" showInputMessage="1" showErrorMessage="1" sqref="D6:D53" xr:uid="{52F302CC-7975-4B04-88F6-23E382EA28CE}">
      <formula1>"・,●"</formula1>
    </dataValidation>
    <dataValidation type="list" showDropDown="1" showInputMessage="1" showErrorMessage="1" sqref="C6:C53" xr:uid="{D2FBD10D-186F-46E7-BCB3-5DB92B64B649}">
      <formula1>"・,■"</formula1>
    </dataValidation>
  </dataValidations>
  <hyperlinks>
    <hyperlink ref="AI3" r:id="rId1" xr:uid="{D4037D80-9C28-4501-A721-6892F90DDCD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01" r:id="rId5" name="ExecuteComboBox_1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18</xdr:col>
                    <xdr:colOff>3486150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" r:id="rId6" name="ExecuteButton_1">
              <controlPr defaultSize="0" print="0" autoFill="0" autoPict="0" macro="[0]!Sheet1.ExeButtonClick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" r:id="rId7" name="ResetButton_1">
              <controlPr defaultSize="0" print="0" autoFill="0" autoPict="0" macro="[0]!Sheet1.PrepareSheet">
                <anchor moveWithCells="1" sizeWithCells="1">
                  <from>
                    <xdr:col>18</xdr:col>
                    <xdr:colOff>3486150</xdr:colOff>
                    <xdr:row>2</xdr:row>
                    <xdr:rowOff>0</xdr:rowOff>
                  </from>
                  <to>
                    <xdr:col>18</xdr:col>
                    <xdr:colOff>4171950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4" r:id="rId8" name="RecalculateButton_1">
              <controlPr defaultSize="0" print="0" autoFill="0" autoPict="0" macro="[0]!Sheet1.RecalculateSheet">
                <anchor moveWithCells="1" sizeWithCells="1">
                  <from>
                    <xdr:col>18</xdr:col>
                    <xdr:colOff>4171950</xdr:colOff>
                    <xdr:row>2</xdr:row>
                    <xdr:rowOff>0</xdr:rowOff>
                  </from>
                  <to>
                    <xdr:col>19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WBS-TEST</vt:lpstr>
      <vt:lpstr>WBS-Template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</dc:creator>
  <cp:lastModifiedBy>Hiroki Chiba</cp:lastModifiedBy>
  <cp:lastPrinted>2025-04-13T17:38:32Z</cp:lastPrinted>
  <dcterms:created xsi:type="dcterms:W3CDTF">2015-06-05T18:19:34Z</dcterms:created>
  <dcterms:modified xsi:type="dcterms:W3CDTF">2025-04-22T16:35:19Z</dcterms:modified>
</cp:coreProperties>
</file>