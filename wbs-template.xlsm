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E804BE52-E8CA-401A-8A61-CF524B627BA2}" xr6:coauthVersionLast="47" xr6:coauthVersionMax="47" xr10:uidLastSave="{00000000-0000-0000-0000-000000000000}"/>
  <bookViews>
    <workbookView xWindow="3372" yWindow="-23520" windowWidth="39024" windowHeight="22404" xr2:uid="{00000000-000D-0000-FFFF-FFFF00000000}"/>
  </bookViews>
  <sheets>
    <sheet name="WBS-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4" i="1" l="1"/>
  <c r="L43" i="1"/>
  <c r="L42" i="1"/>
  <c r="L41" i="1"/>
  <c r="L40" i="1"/>
  <c r="L39" i="1"/>
  <c r="L38" i="1"/>
  <c r="L37" i="1"/>
  <c r="L36" i="1"/>
  <c r="L35" i="1"/>
  <c r="L53" i="1"/>
  <c r="L52" i="1"/>
  <c r="L51" i="1"/>
  <c r="L50" i="1"/>
  <c r="L49" i="1"/>
  <c r="L48" i="1"/>
  <c r="L47" i="1"/>
  <c r="L46" i="1"/>
  <c r="L45" i="1"/>
  <c r="L44" i="1"/>
  <c r="L34" i="1"/>
  <c r="L19" i="1"/>
  <c r="L18" i="1"/>
  <c r="L33" i="1"/>
  <c r="L32" i="1"/>
  <c r="L31" i="1"/>
  <c r="L30" i="1"/>
  <c r="L29" i="1"/>
  <c r="L28" i="1"/>
  <c r="L27" i="1"/>
  <c r="L26" i="1"/>
  <c r="L25" i="1"/>
  <c r="L24" i="1"/>
  <c r="L23" i="1"/>
  <c r="L21" i="1"/>
  <c r="L22" i="1"/>
  <c r="L20" i="1"/>
  <c r="L17" i="1"/>
  <c r="L16" i="1"/>
  <c r="L15" i="1"/>
  <c r="L14" i="1"/>
  <c r="L13" i="1"/>
  <c r="L12" i="1"/>
  <c r="L11" i="1"/>
  <c r="L10" i="1"/>
  <c r="L9" i="1"/>
  <c r="L8" i="1"/>
  <c r="L7" i="1"/>
  <c r="L6" i="1"/>
  <c r="K54" i="1"/>
  <c r="K43" i="1"/>
  <c r="K42" i="1"/>
  <c r="K41" i="1"/>
  <c r="K40" i="1"/>
  <c r="K39" i="1"/>
  <c r="K38" i="1"/>
  <c r="K37" i="1"/>
  <c r="K36" i="1"/>
  <c r="K35" i="1"/>
  <c r="K53" i="1"/>
  <c r="K52" i="1"/>
  <c r="K51" i="1"/>
  <c r="K50" i="1"/>
  <c r="K49" i="1"/>
  <c r="K48" i="1"/>
  <c r="K47" i="1"/>
  <c r="K46" i="1"/>
  <c r="K45" i="1"/>
  <c r="K44" i="1"/>
  <c r="K34" i="1"/>
  <c r="K19" i="1"/>
  <c r="K18" i="1"/>
  <c r="K33" i="1"/>
  <c r="K32" i="1"/>
  <c r="K31" i="1"/>
  <c r="K30" i="1"/>
  <c r="K29" i="1"/>
  <c r="K28" i="1"/>
  <c r="K27" i="1"/>
  <c r="K26" i="1"/>
  <c r="K25" i="1"/>
  <c r="K24" i="1"/>
  <c r="K23" i="1"/>
  <c r="K21" i="1"/>
  <c r="K22" i="1"/>
  <c r="K20" i="1"/>
  <c r="K17" i="1"/>
  <c r="K16" i="1"/>
  <c r="K15" i="1"/>
  <c r="K14" i="1"/>
  <c r="K13" i="1"/>
  <c r="K12" i="1"/>
  <c r="K11" i="1"/>
  <c r="K10" i="1"/>
  <c r="K9" i="1"/>
  <c r="K8" i="1"/>
  <c r="K7" i="1"/>
  <c r="K6" i="1"/>
</calcChain>
</file>

<file path=xl/sharedStrings.xml><?xml version="1.0" encoding="utf-8"?>
<sst xmlns="http://schemas.openxmlformats.org/spreadsheetml/2006/main" count="159" uniqueCount="74">
  <si>
    <t>L1</t>
    <phoneticPr fontId="1"/>
  </si>
  <si>
    <t>L2</t>
    <phoneticPr fontId="1"/>
  </si>
  <si>
    <t>L3</t>
    <phoneticPr fontId="1"/>
  </si>
  <si>
    <t>階層番号</t>
    <rPh sb="0" eb="4">
      <t>カイソウバンゴウ</t>
    </rPh>
    <phoneticPr fontId="1"/>
  </si>
  <si>
    <t>作業内容</t>
    <rPh sb="0" eb="4">
      <t>サギョウナイヨウ</t>
    </rPh>
    <phoneticPr fontId="1"/>
  </si>
  <si>
    <t>担当</t>
    <rPh sb="0" eb="2">
      <t>タントウ</t>
    </rPh>
    <phoneticPr fontId="1"/>
  </si>
  <si>
    <t>ステータス</t>
    <phoneticPr fontId="1"/>
  </si>
  <si>
    <t>成果物</t>
    <rPh sb="0" eb="3">
      <t>セイカブツ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</si>
  <si>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</si>
  <si>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</si>
  <si>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</si>
  <si>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</si>
  <si>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</si>
  <si>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TASK</t>
    <phoneticPr fontId="1"/>
  </si>
  <si>
    <t>$</t>
    <phoneticPr fontId="1"/>
  </si>
  <si>
    <t>@</t>
    <phoneticPr fontId="1"/>
  </si>
  <si>
    <t>ID</t>
    <phoneticPr fontId="1"/>
  </si>
  <si>
    <t>L1</t>
  </si>
  <si>
    <t>IDX</t>
    <phoneticPr fontId="1"/>
  </si>
  <si>
    <t>-</t>
  </si>
  <si>
    <t>L4</t>
    <phoneticPr fontId="1"/>
  </si>
  <si>
    <t>L5</t>
    <phoneticPr fontId="1"/>
  </si>
  <si>
    <t>L2項目</t>
    <rPh sb="2" eb="4">
      <t>コウモク</t>
    </rPh>
    <phoneticPr fontId="1"/>
  </si>
  <si>
    <t>L3項目</t>
    <rPh sb="2" eb="4">
      <t>コウモク</t>
    </rPh>
    <phoneticPr fontId="1"/>
  </si>
  <si>
    <t>L4項目</t>
    <rPh sb="2" eb="4">
      <t>コウモク</t>
    </rPh>
    <phoneticPr fontId="1"/>
  </si>
  <si>
    <t>進捗率</t>
    <rPh sb="0" eb="2">
      <t>シンチョク</t>
    </rPh>
    <rPh sb="2" eb="3">
      <t>リツ</t>
    </rPh>
    <phoneticPr fontId="1"/>
  </si>
  <si>
    <t>加重</t>
    <rPh sb="0" eb="2">
      <t>カジュウ</t>
    </rPh>
    <phoneticPr fontId="1"/>
  </si>
  <si>
    <r>
      <t>工数</t>
    </r>
    <r>
      <rPr>
        <sz val="6"/>
        <color theme="1"/>
        <rFont val="游ゴシック Medium"/>
        <family val="3"/>
        <charset val="128"/>
      </rPr>
      <t>(人日)</t>
    </r>
    <rPh sb="0" eb="2">
      <t>コウスウ</t>
    </rPh>
    <rPh sb="3" eb="5">
      <t>ニンニチ</t>
    </rPh>
    <phoneticPr fontId="1"/>
  </si>
  <si>
    <t>WBS-Template</t>
    <phoneticPr fontId="1"/>
  </si>
  <si>
    <t>CHK</t>
    <phoneticPr fontId="1"/>
  </si>
  <si>
    <t>OPT</t>
    <phoneticPr fontId="1"/>
  </si>
  <si>
    <t>WBS項目名</t>
    <phoneticPr fontId="1"/>
  </si>
  <si>
    <t>工数</t>
    <rPh sb="0" eb="2">
      <t>コウスウ</t>
    </rPh>
    <phoneticPr fontId="1"/>
  </si>
  <si>
    <t>項目</t>
    <rPh sb="0" eb="2">
      <t>コウモク</t>
    </rPh>
    <phoneticPr fontId="1"/>
  </si>
  <si>
    <t>消化率</t>
    <rPh sb="0" eb="3">
      <t>ショウカリツ</t>
    </rPh>
    <phoneticPr fontId="1"/>
  </si>
  <si>
    <t>組織</t>
    <rPh sb="0" eb="2">
      <t>ソシキ</t>
    </rPh>
    <phoneticPr fontId="1"/>
  </si>
  <si>
    <t>候補設定（プルダウン）</t>
    <rPh sb="0" eb="2">
      <t>コウホ</t>
    </rPh>
    <rPh sb="2" eb="4">
      <t>セッテイ</t>
    </rPh>
    <phoneticPr fontId="1"/>
  </si>
  <si>
    <t>L5項目</t>
    <rPh sb="2" eb="4">
      <t>コウモク</t>
    </rPh>
    <phoneticPr fontId="1"/>
  </si>
  <si>
    <t>組織A</t>
    <phoneticPr fontId="1"/>
  </si>
  <si>
    <t>担当1</t>
    <phoneticPr fontId="1"/>
  </si>
  <si>
    <t>担当2</t>
  </si>
  <si>
    <t>担当3</t>
  </si>
  <si>
    <t>担当4</t>
  </si>
  <si>
    <t>担当5</t>
  </si>
  <si>
    <t>担当6</t>
  </si>
  <si>
    <t>担当7</t>
  </si>
  <si>
    <t>担当8</t>
  </si>
  <si>
    <t>担当9</t>
  </si>
  <si>
    <r>
      <t>残工数</t>
    </r>
    <r>
      <rPr>
        <sz val="6"/>
        <color theme="1"/>
        <rFont val="游ゴシック Medium"/>
        <family val="3"/>
        <charset val="128"/>
      </rPr>
      <t>(人日)</t>
    </r>
    <rPh sb="0" eb="1">
      <t>ザン</t>
    </rPh>
    <rPh sb="1" eb="3">
      <t>コウスウ</t>
    </rPh>
    <rPh sb="4" eb="6">
      <t>ニンニチ</t>
    </rPh>
    <phoneticPr fontId="1"/>
  </si>
  <si>
    <r>
      <t>済工数</t>
    </r>
    <r>
      <rPr>
        <sz val="6"/>
        <color theme="1"/>
        <rFont val="游ゴシック Medium"/>
        <family val="3"/>
        <charset val="128"/>
      </rPr>
      <t>(人日)</t>
    </r>
    <rPh sb="0" eb="1">
      <t>ス</t>
    </rPh>
    <rPh sb="1" eb="3">
      <t>コウスウ</t>
    </rPh>
    <phoneticPr fontId="1"/>
  </si>
  <si>
    <t>全体</t>
    <rPh sb="0" eb="2">
      <t>ゼンタイ</t>
    </rPh>
    <phoneticPr fontId="1"/>
  </si>
  <si>
    <t>合計</t>
    <rPh sb="0" eb="2">
      <t>ゴウケイ</t>
    </rPh>
    <phoneticPr fontId="1"/>
  </si>
  <si>
    <t>https://github.com/H16K148/wbs-template-xlsm</t>
    <phoneticPr fontId="1"/>
  </si>
  <si>
    <t>組織B</t>
  </si>
  <si>
    <t>組織C</t>
  </si>
  <si>
    <t>L4タスク_4</t>
    <phoneticPr fontId="1"/>
  </si>
  <si>
    <t>L1タスク_1</t>
    <phoneticPr fontId="1"/>
  </si>
  <si>
    <t>L2タスク_1</t>
    <phoneticPr fontId="1"/>
  </si>
  <si>
    <t>L2タスク_2</t>
    <phoneticPr fontId="1"/>
  </si>
  <si>
    <t>L3タスク_1</t>
    <phoneticPr fontId="1"/>
  </si>
  <si>
    <t>L3タスク_2</t>
    <phoneticPr fontId="1"/>
  </si>
  <si>
    <t>L3タスク_3</t>
    <phoneticPr fontId="1"/>
  </si>
  <si>
    <t>L4タスク_2</t>
    <phoneticPr fontId="1"/>
  </si>
  <si>
    <t>L4タスク_1</t>
    <phoneticPr fontId="1"/>
  </si>
  <si>
    <t>L4タスク_3</t>
    <phoneticPr fontId="1"/>
  </si>
  <si>
    <t>L5タスク_1</t>
    <phoneticPr fontId="1"/>
  </si>
  <si>
    <t>L5タスク_2</t>
    <phoneticPr fontId="1"/>
  </si>
  <si>
    <t>L5タスク_3</t>
    <phoneticPr fontId="1"/>
  </si>
  <si>
    <t>L5タスク_4</t>
    <phoneticPr fontId="1"/>
  </si>
  <si>
    <t>L5タスク_5</t>
    <phoneticPr fontId="1"/>
  </si>
  <si>
    <t>L1タスク_2</t>
    <phoneticPr fontId="1"/>
  </si>
  <si>
    <t>L1項目2</t>
    <rPh sb="2" eb="4">
      <t>コウモク</t>
    </rPh>
    <phoneticPr fontId="1"/>
  </si>
  <si>
    <t>L1項目1</t>
    <rPh sb="2" eb="4">
      <t>コウモク</t>
    </rPh>
    <phoneticPr fontId="1"/>
  </si>
  <si>
    <t>L1項目3</t>
    <rPh sb="2" eb="4">
      <t>コウモク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</si>
</sst>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yyyy/m/d\ ddd"/>
    <numFmt numFmtId="177" formatCode="0.0%"/>
  </numFmts>
  <fonts count="1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theme="1"/>
      <name val="游ゴシック"/>
      <family val="3"/>
      <charset val="128"/>
    </font>
    <font>
      <sz val="6"/>
      <color theme="1"/>
      <name val="游ゴシック"/>
      <family val="3"/>
      <charset val="128"/>
    </font>
    <font>
      <sz val="8"/>
      <color theme="1"/>
      <name val="游ゴシック"/>
      <family val="3"/>
      <charset val="128"/>
    </font>
    <font>
      <sz val="9"/>
      <color theme="1"/>
      <name val="游ゴシック Medium"/>
      <family val="3"/>
      <charset val="128"/>
    </font>
    <font>
      <sz val="8"/>
      <color theme="1"/>
      <name val="游ゴシック Medium"/>
      <family val="3"/>
      <charset val="128"/>
    </font>
    <font>
      <sz val="6"/>
      <color theme="1"/>
      <name val="游ゴシック Medium"/>
      <family val="3"/>
      <charset val="128"/>
    </font>
    <font>
      <sz val="18"/>
      <color theme="1"/>
      <name val="游ゴシック Medium"/>
      <family val="3"/>
      <charset val="128"/>
    </font>
    <font>
      <sz val="7"/>
      <color theme="0" tint="-0.499984740745262"/>
      <name val="游ゴシック Medium"/>
      <family val="3"/>
      <charset val="128"/>
    </font>
    <font>
      <sz val="7"/>
      <color theme="1"/>
      <name val="游ゴシック Medium"/>
      <family val="3"/>
      <charset val="128"/>
    </font>
    <font>
      <sz val="8"/>
      <name val="游ゴシック Medium"/>
      <family val="3"/>
      <charset val="128"/>
    </font>
    <font>
      <b/>
      <sz val="9"/>
      <color theme="1"/>
      <name val="游ゴシック Medium"/>
      <family val="3"/>
      <charset val="128"/>
    </font>
    <font>
      <u/>
      <sz val="11"/>
      <color theme="10"/>
      <name val="Yu Gothic"/>
      <family val="2"/>
      <scheme val="minor"/>
    </font>
    <font>
      <u/>
      <sz val="8"/>
      <color theme="10"/>
      <name val="游ゴシック"/>
      <family val="3"/>
      <charset val="128"/>
    </font>
    <font>
      <sz val="9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9" fontId="2" fillId="0" borderId="0" xfId="0" applyNumberFormat="1" applyFont="1"/>
    <xf numFmtId="6" fontId="2" fillId="0" borderId="0" xfId="0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76" fontId="6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horizontal="centerContinuous"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"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0" borderId="0" xfId="0" applyFont="1"/>
    <xf numFmtId="177" fontId="4" fillId="0" borderId="0" xfId="0" applyNumberFormat="1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Continuous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vertical="center"/>
    </xf>
    <xf numFmtId="0" fontId="13" fillId="0" borderId="4" xfId="0" applyFont="1" applyBorder="1" applyAlignment="1">
      <alignment horizontal="centerContinuous" vertical="center"/>
    </xf>
    <xf numFmtId="0" fontId="8" fillId="0" borderId="1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14" fillId="0" borderId="0" xfId="0" applyFont="1" applyAlignment="1">
      <alignment horizontal="right" vertical="center"/>
    </xf>
    <xf numFmtId="0" fontId="4" fillId="0" borderId="6" xfId="0" applyFont="1" applyBorder="1" applyAlignment="1">
      <alignment horizontal="centerContinuous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Continuous" vertical="center"/>
    </xf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Continuous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6" fillId="0" borderId="0" xfId="1" applyFont="1" applyAlignment="1">
      <alignment horizontal="right"/>
    </xf>
    <xf numFmtId="0" fontId="6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</cellXfs>
  <cellStyles count="2">
    <cellStyle name="ハイパーリンク" xfId="1" builtinId="8"/>
    <cellStyle name="標準" xfId="0" builtinId="0"/>
  </cellStyles>
  <dxfs count="54">
    <dxf>
      <numFmt numFmtId="178" formatCode="\(0.0%\)"/>
    </dxf>
    <dxf>
      <font>
        <b/>
        <i val="0"/>
        <color rgb="FF002060"/>
      </font>
    </dxf>
    <dxf>
      <fill>
        <patternFill>
          <bgColor rgb="FFFFFF00"/>
        </patternFill>
      </fill>
    </dxf>
    <dxf>
      <font>
        <b/>
        <i/>
      </font>
      <numFmt numFmtId="179" formatCode="\(0.0\)"/>
    </dxf>
    <dxf>
      <fill>
        <patternFill>
          <bgColor rgb="FFFFFF00"/>
        </patternFill>
      </fill>
    </dxf>
    <dxf>
      <font>
        <b/>
        <i/>
      </font>
      <numFmt numFmtId="179" formatCode="\(0.0\)"/>
    </dxf>
    <dxf>
      <font>
        <b/>
        <i val="0"/>
        <color rgb="FF002060"/>
      </font>
    </dxf>
    <dxf>
      <font>
        <b/>
        <i val="0"/>
        <color rgb="FF002060"/>
      </font>
      <numFmt numFmtId="14" formatCode="0.00%"/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ont>
        <strike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/>
      </font>
      <numFmt numFmtId="179" formatCode="\(0.0\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/>
      </font>
      <numFmt numFmtId="178" formatCode="\(0.0%\)"/>
      <fill>
        <patternFill patternType="solid"/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34998626667073579"/>
      </font>
    </dxf>
    <dxf>
      <font>
        <b/>
        <i val="0"/>
        <color rgb="FF9C0006"/>
      </font>
      <fill>
        <patternFill>
          <bgColor rgb="FFFFC7CE"/>
        </patternFill>
      </fill>
    </dxf>
    <dxf>
      <border>
        <left style="dashed">
          <color auto="1"/>
        </left>
        <right style="thin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 tint="-0.499984740745262"/>
      </font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</dxfs>
  <tableStyles count="0" defaultTableStyle="TableStyleMedium2" defaultPivotStyle="PivotStyleLight16"/>
  <colors>
    <mruColors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Drop" dropStyle="combo" dx="22" noThreeD="1" sel="1" val="0">
  <itemLst>
    <item val="【OPT】 選択した行の上に一行追加"/>
    <item val="【OPT】 選択した階層番号の末尾を＋１"/>
    <item val="【OPT】 選択した階層番号の末尾を－１"/>
    <item val="【CHK】 チェックした２箇所の階層番号の末尾番号を交換　※ チェックが同階層である階層行の２箇所でなかった場合は不可 ※"/>
    <item val="【CHK】 チェックした行を削除　※ 子階層や子タスクがある場合は不可 ※"/>
    <item val="階層番号をソート"/>
    <item val="L2以下を非表示"/>
    <item val="L3以下を非表示"/>
    <item val="L4以下を非表示"/>
    <item val="すべてを再表示"/>
  </itemLst>
</formControlPr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5</xdr:row>
          <xdr:rowOff>4445</xdr:rowOff>
        </xdr:from>
        <xdr:to>
          <xdr:col>2</xdr:col>
          <xdr:colOff>250825</xdr:colOff>
          <xdr:row>5</xdr:row>
          <xdr:rowOff>227965</xdr:rowOff>
        </xdr:to>
        <xdr:sp macro="" textlink="">
          <xdr:nvSpPr>
            <xdr:cNvPr id="2315" name="CheckBox_6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5</xdr:row>
          <xdr:rowOff>4445</xdr:rowOff>
        </xdr:from>
        <xdr:to>
          <xdr:col>3</xdr:col>
          <xdr:colOff>247015</xdr:colOff>
          <xdr:row>5</xdr:row>
          <xdr:rowOff>227965</xdr:rowOff>
        </xdr:to>
        <xdr:sp macro="" textlink="">
          <xdr:nvSpPr>
            <xdr:cNvPr id="2316" name="OptionButton_6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6</xdr:row>
          <xdr:rowOff>4445</xdr:rowOff>
        </xdr:from>
        <xdr:to>
          <xdr:col>2</xdr:col>
          <xdr:colOff>250825</xdr:colOff>
          <xdr:row>6</xdr:row>
          <xdr:rowOff>227965</xdr:rowOff>
        </xdr:to>
        <xdr:sp macro="" textlink="">
          <xdr:nvSpPr>
            <xdr:cNvPr id="2317" name="CheckBox_7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6</xdr:row>
          <xdr:rowOff>4445</xdr:rowOff>
        </xdr:from>
        <xdr:to>
          <xdr:col>3</xdr:col>
          <xdr:colOff>247015</xdr:colOff>
          <xdr:row>6</xdr:row>
          <xdr:rowOff>227965</xdr:rowOff>
        </xdr:to>
        <xdr:sp macro="" textlink="">
          <xdr:nvSpPr>
            <xdr:cNvPr id="2318" name="OptionButton_7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7</xdr:row>
          <xdr:rowOff>4445</xdr:rowOff>
        </xdr:from>
        <xdr:to>
          <xdr:col>2</xdr:col>
          <xdr:colOff>250825</xdr:colOff>
          <xdr:row>7</xdr:row>
          <xdr:rowOff>227965</xdr:rowOff>
        </xdr:to>
        <xdr:sp macro="" textlink="">
          <xdr:nvSpPr>
            <xdr:cNvPr id="2319" name="CheckBox_8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7</xdr:row>
          <xdr:rowOff>4445</xdr:rowOff>
        </xdr:from>
        <xdr:to>
          <xdr:col>3</xdr:col>
          <xdr:colOff>247015</xdr:colOff>
          <xdr:row>7</xdr:row>
          <xdr:rowOff>227965</xdr:rowOff>
        </xdr:to>
        <xdr:sp macro="" textlink="">
          <xdr:nvSpPr>
            <xdr:cNvPr id="2320" name="OptionButton_8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8</xdr:row>
          <xdr:rowOff>4445</xdr:rowOff>
        </xdr:from>
        <xdr:to>
          <xdr:col>2</xdr:col>
          <xdr:colOff>250825</xdr:colOff>
          <xdr:row>8</xdr:row>
          <xdr:rowOff>227965</xdr:rowOff>
        </xdr:to>
        <xdr:sp macro="" textlink="">
          <xdr:nvSpPr>
            <xdr:cNvPr id="2321" name="CheckBox_9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8</xdr:row>
          <xdr:rowOff>4445</xdr:rowOff>
        </xdr:from>
        <xdr:to>
          <xdr:col>3</xdr:col>
          <xdr:colOff>247015</xdr:colOff>
          <xdr:row>8</xdr:row>
          <xdr:rowOff>227965</xdr:rowOff>
        </xdr:to>
        <xdr:sp macro="" textlink="">
          <xdr:nvSpPr>
            <xdr:cNvPr id="2322" name="OptionButton_9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9</xdr:row>
          <xdr:rowOff>4445</xdr:rowOff>
        </xdr:from>
        <xdr:to>
          <xdr:col>2</xdr:col>
          <xdr:colOff>250825</xdr:colOff>
          <xdr:row>9</xdr:row>
          <xdr:rowOff>227965</xdr:rowOff>
        </xdr:to>
        <xdr:sp macro="" textlink="">
          <xdr:nvSpPr>
            <xdr:cNvPr id="2323" name="CheckBox_10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9</xdr:row>
          <xdr:rowOff>4445</xdr:rowOff>
        </xdr:from>
        <xdr:to>
          <xdr:col>3</xdr:col>
          <xdr:colOff>247015</xdr:colOff>
          <xdr:row>9</xdr:row>
          <xdr:rowOff>227965</xdr:rowOff>
        </xdr:to>
        <xdr:sp macro="" textlink="">
          <xdr:nvSpPr>
            <xdr:cNvPr id="2324" name="OptionButton_10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10</xdr:row>
          <xdr:rowOff>4445</xdr:rowOff>
        </xdr:from>
        <xdr:to>
          <xdr:col>2</xdr:col>
          <xdr:colOff>250825</xdr:colOff>
          <xdr:row>10</xdr:row>
          <xdr:rowOff>227965</xdr:rowOff>
        </xdr:to>
        <xdr:sp macro="" textlink="">
          <xdr:nvSpPr>
            <xdr:cNvPr id="2325" name="CheckBox_11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10</xdr:row>
          <xdr:rowOff>4445</xdr:rowOff>
        </xdr:from>
        <xdr:to>
          <xdr:col>3</xdr:col>
          <xdr:colOff>247015</xdr:colOff>
          <xdr:row>10</xdr:row>
          <xdr:rowOff>227965</xdr:rowOff>
        </xdr:to>
        <xdr:sp macro="" textlink="">
          <xdr:nvSpPr>
            <xdr:cNvPr id="2326" name="OptionButton_11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11</xdr:row>
          <xdr:rowOff>4445</xdr:rowOff>
        </xdr:from>
        <xdr:to>
          <xdr:col>2</xdr:col>
          <xdr:colOff>250825</xdr:colOff>
          <xdr:row>11</xdr:row>
          <xdr:rowOff>227965</xdr:rowOff>
        </xdr:to>
        <xdr:sp macro="" textlink="">
          <xdr:nvSpPr>
            <xdr:cNvPr id="2327" name="CheckBox_12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11</xdr:row>
          <xdr:rowOff>4445</xdr:rowOff>
        </xdr:from>
        <xdr:to>
          <xdr:col>3</xdr:col>
          <xdr:colOff>247015</xdr:colOff>
          <xdr:row>11</xdr:row>
          <xdr:rowOff>227965</xdr:rowOff>
        </xdr:to>
        <xdr:sp macro="" textlink="">
          <xdr:nvSpPr>
            <xdr:cNvPr id="2328" name="OptionButton_12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12</xdr:row>
          <xdr:rowOff>4445</xdr:rowOff>
        </xdr:from>
        <xdr:to>
          <xdr:col>2</xdr:col>
          <xdr:colOff>250825</xdr:colOff>
          <xdr:row>12</xdr:row>
          <xdr:rowOff>227965</xdr:rowOff>
        </xdr:to>
        <xdr:sp macro="" textlink="">
          <xdr:nvSpPr>
            <xdr:cNvPr id="2329" name="CheckBox_13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12</xdr:row>
          <xdr:rowOff>4445</xdr:rowOff>
        </xdr:from>
        <xdr:to>
          <xdr:col>3</xdr:col>
          <xdr:colOff>247015</xdr:colOff>
          <xdr:row>12</xdr:row>
          <xdr:rowOff>227965</xdr:rowOff>
        </xdr:to>
        <xdr:sp macro="" textlink="">
          <xdr:nvSpPr>
            <xdr:cNvPr id="2330" name="OptionButton_13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13</xdr:row>
          <xdr:rowOff>4445</xdr:rowOff>
        </xdr:from>
        <xdr:to>
          <xdr:col>2</xdr:col>
          <xdr:colOff>250825</xdr:colOff>
          <xdr:row>13</xdr:row>
          <xdr:rowOff>227965</xdr:rowOff>
        </xdr:to>
        <xdr:sp macro="" textlink="">
          <xdr:nvSpPr>
            <xdr:cNvPr id="2331" name="CheckBox_14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13</xdr:row>
          <xdr:rowOff>4445</xdr:rowOff>
        </xdr:from>
        <xdr:to>
          <xdr:col>3</xdr:col>
          <xdr:colOff>247015</xdr:colOff>
          <xdr:row>13</xdr:row>
          <xdr:rowOff>227965</xdr:rowOff>
        </xdr:to>
        <xdr:sp macro="" textlink="">
          <xdr:nvSpPr>
            <xdr:cNvPr id="2332" name="OptionButton_1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14</xdr:row>
          <xdr:rowOff>4445</xdr:rowOff>
        </xdr:from>
        <xdr:to>
          <xdr:col>2</xdr:col>
          <xdr:colOff>250825</xdr:colOff>
          <xdr:row>14</xdr:row>
          <xdr:rowOff>227965</xdr:rowOff>
        </xdr:to>
        <xdr:sp macro="" textlink="">
          <xdr:nvSpPr>
            <xdr:cNvPr id="2333" name="CheckBox_1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14</xdr:row>
          <xdr:rowOff>4445</xdr:rowOff>
        </xdr:from>
        <xdr:to>
          <xdr:col>3</xdr:col>
          <xdr:colOff>247015</xdr:colOff>
          <xdr:row>14</xdr:row>
          <xdr:rowOff>227965</xdr:rowOff>
        </xdr:to>
        <xdr:sp macro="" textlink="">
          <xdr:nvSpPr>
            <xdr:cNvPr id="2334" name="OptionButton_15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15</xdr:row>
          <xdr:rowOff>4445</xdr:rowOff>
        </xdr:from>
        <xdr:to>
          <xdr:col>2</xdr:col>
          <xdr:colOff>250825</xdr:colOff>
          <xdr:row>15</xdr:row>
          <xdr:rowOff>227965</xdr:rowOff>
        </xdr:to>
        <xdr:sp macro="" textlink="">
          <xdr:nvSpPr>
            <xdr:cNvPr id="2335" name="CheckBox_16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15</xdr:row>
          <xdr:rowOff>4445</xdr:rowOff>
        </xdr:from>
        <xdr:to>
          <xdr:col>3</xdr:col>
          <xdr:colOff>247015</xdr:colOff>
          <xdr:row>15</xdr:row>
          <xdr:rowOff>227965</xdr:rowOff>
        </xdr:to>
        <xdr:sp macro="" textlink="">
          <xdr:nvSpPr>
            <xdr:cNvPr id="2336" name="OptionButton_16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16</xdr:row>
          <xdr:rowOff>4445</xdr:rowOff>
        </xdr:from>
        <xdr:to>
          <xdr:col>2</xdr:col>
          <xdr:colOff>250825</xdr:colOff>
          <xdr:row>16</xdr:row>
          <xdr:rowOff>227965</xdr:rowOff>
        </xdr:to>
        <xdr:sp macro="" textlink="">
          <xdr:nvSpPr>
            <xdr:cNvPr id="2337" name="CheckBox_17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16</xdr:row>
          <xdr:rowOff>4445</xdr:rowOff>
        </xdr:from>
        <xdr:to>
          <xdr:col>3</xdr:col>
          <xdr:colOff>247015</xdr:colOff>
          <xdr:row>16</xdr:row>
          <xdr:rowOff>227965</xdr:rowOff>
        </xdr:to>
        <xdr:sp macro="" textlink="">
          <xdr:nvSpPr>
            <xdr:cNvPr id="2338" name="OptionButton_17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17</xdr:row>
          <xdr:rowOff>4445</xdr:rowOff>
        </xdr:from>
        <xdr:to>
          <xdr:col>2</xdr:col>
          <xdr:colOff>250825</xdr:colOff>
          <xdr:row>17</xdr:row>
          <xdr:rowOff>227965</xdr:rowOff>
        </xdr:to>
        <xdr:sp macro="" textlink="">
          <xdr:nvSpPr>
            <xdr:cNvPr id="2339" name="CheckBox_18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17</xdr:row>
          <xdr:rowOff>4445</xdr:rowOff>
        </xdr:from>
        <xdr:to>
          <xdr:col>3</xdr:col>
          <xdr:colOff>247015</xdr:colOff>
          <xdr:row>17</xdr:row>
          <xdr:rowOff>227965</xdr:rowOff>
        </xdr:to>
        <xdr:sp macro="" textlink="">
          <xdr:nvSpPr>
            <xdr:cNvPr id="2340" name="OptionButton_18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18</xdr:row>
          <xdr:rowOff>4445</xdr:rowOff>
        </xdr:from>
        <xdr:to>
          <xdr:col>2</xdr:col>
          <xdr:colOff>250825</xdr:colOff>
          <xdr:row>18</xdr:row>
          <xdr:rowOff>227965</xdr:rowOff>
        </xdr:to>
        <xdr:sp macro="" textlink="">
          <xdr:nvSpPr>
            <xdr:cNvPr id="2341" name="CheckBox_19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18</xdr:row>
          <xdr:rowOff>4445</xdr:rowOff>
        </xdr:from>
        <xdr:to>
          <xdr:col>3</xdr:col>
          <xdr:colOff>247015</xdr:colOff>
          <xdr:row>18</xdr:row>
          <xdr:rowOff>227965</xdr:rowOff>
        </xdr:to>
        <xdr:sp macro="" textlink="">
          <xdr:nvSpPr>
            <xdr:cNvPr id="2342" name="OptionButton_19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19</xdr:row>
          <xdr:rowOff>4445</xdr:rowOff>
        </xdr:from>
        <xdr:to>
          <xdr:col>2</xdr:col>
          <xdr:colOff>250825</xdr:colOff>
          <xdr:row>19</xdr:row>
          <xdr:rowOff>227965</xdr:rowOff>
        </xdr:to>
        <xdr:sp macro="" textlink="">
          <xdr:nvSpPr>
            <xdr:cNvPr id="2343" name="CheckBox_20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19</xdr:row>
          <xdr:rowOff>4445</xdr:rowOff>
        </xdr:from>
        <xdr:to>
          <xdr:col>3</xdr:col>
          <xdr:colOff>247015</xdr:colOff>
          <xdr:row>19</xdr:row>
          <xdr:rowOff>227965</xdr:rowOff>
        </xdr:to>
        <xdr:sp macro="" textlink="">
          <xdr:nvSpPr>
            <xdr:cNvPr id="2344" name="OptionButton_20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20</xdr:row>
          <xdr:rowOff>4445</xdr:rowOff>
        </xdr:from>
        <xdr:to>
          <xdr:col>2</xdr:col>
          <xdr:colOff>250825</xdr:colOff>
          <xdr:row>20</xdr:row>
          <xdr:rowOff>227965</xdr:rowOff>
        </xdr:to>
        <xdr:sp macro="" textlink="">
          <xdr:nvSpPr>
            <xdr:cNvPr id="2345" name="CheckBox_21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20</xdr:row>
          <xdr:rowOff>4445</xdr:rowOff>
        </xdr:from>
        <xdr:to>
          <xdr:col>3</xdr:col>
          <xdr:colOff>247015</xdr:colOff>
          <xdr:row>20</xdr:row>
          <xdr:rowOff>227965</xdr:rowOff>
        </xdr:to>
        <xdr:sp macro="" textlink="">
          <xdr:nvSpPr>
            <xdr:cNvPr id="2346" name="OptionButton_21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21</xdr:row>
          <xdr:rowOff>4445</xdr:rowOff>
        </xdr:from>
        <xdr:to>
          <xdr:col>2</xdr:col>
          <xdr:colOff>250825</xdr:colOff>
          <xdr:row>21</xdr:row>
          <xdr:rowOff>227965</xdr:rowOff>
        </xdr:to>
        <xdr:sp macro="" textlink="">
          <xdr:nvSpPr>
            <xdr:cNvPr id="2347" name="CheckBox_22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21</xdr:row>
          <xdr:rowOff>4445</xdr:rowOff>
        </xdr:from>
        <xdr:to>
          <xdr:col>3</xdr:col>
          <xdr:colOff>247015</xdr:colOff>
          <xdr:row>21</xdr:row>
          <xdr:rowOff>227965</xdr:rowOff>
        </xdr:to>
        <xdr:sp macro="" textlink="">
          <xdr:nvSpPr>
            <xdr:cNvPr id="2348" name="OptionButton_22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22</xdr:row>
          <xdr:rowOff>4445</xdr:rowOff>
        </xdr:from>
        <xdr:to>
          <xdr:col>2</xdr:col>
          <xdr:colOff>250825</xdr:colOff>
          <xdr:row>22</xdr:row>
          <xdr:rowOff>227965</xdr:rowOff>
        </xdr:to>
        <xdr:sp macro="" textlink="">
          <xdr:nvSpPr>
            <xdr:cNvPr id="2349" name="CheckBox_23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22</xdr:row>
          <xdr:rowOff>4445</xdr:rowOff>
        </xdr:from>
        <xdr:to>
          <xdr:col>3</xdr:col>
          <xdr:colOff>247015</xdr:colOff>
          <xdr:row>22</xdr:row>
          <xdr:rowOff>227965</xdr:rowOff>
        </xdr:to>
        <xdr:sp macro="" textlink="">
          <xdr:nvSpPr>
            <xdr:cNvPr id="2350" name="OptionButton_23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23</xdr:row>
          <xdr:rowOff>4445</xdr:rowOff>
        </xdr:from>
        <xdr:to>
          <xdr:col>2</xdr:col>
          <xdr:colOff>250825</xdr:colOff>
          <xdr:row>23</xdr:row>
          <xdr:rowOff>227965</xdr:rowOff>
        </xdr:to>
        <xdr:sp macro="" textlink="">
          <xdr:nvSpPr>
            <xdr:cNvPr id="2351" name="CheckBox_24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23</xdr:row>
          <xdr:rowOff>4445</xdr:rowOff>
        </xdr:from>
        <xdr:to>
          <xdr:col>3</xdr:col>
          <xdr:colOff>247015</xdr:colOff>
          <xdr:row>23</xdr:row>
          <xdr:rowOff>227965</xdr:rowOff>
        </xdr:to>
        <xdr:sp macro="" textlink="">
          <xdr:nvSpPr>
            <xdr:cNvPr id="2352" name="OptionButton_2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24</xdr:row>
          <xdr:rowOff>4445</xdr:rowOff>
        </xdr:from>
        <xdr:to>
          <xdr:col>2</xdr:col>
          <xdr:colOff>250825</xdr:colOff>
          <xdr:row>24</xdr:row>
          <xdr:rowOff>227965</xdr:rowOff>
        </xdr:to>
        <xdr:sp macro="" textlink="">
          <xdr:nvSpPr>
            <xdr:cNvPr id="2353" name="CheckBox_2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24</xdr:row>
          <xdr:rowOff>4445</xdr:rowOff>
        </xdr:from>
        <xdr:to>
          <xdr:col>3</xdr:col>
          <xdr:colOff>247015</xdr:colOff>
          <xdr:row>24</xdr:row>
          <xdr:rowOff>227965</xdr:rowOff>
        </xdr:to>
        <xdr:sp macro="" textlink="">
          <xdr:nvSpPr>
            <xdr:cNvPr id="2354" name="OptionButton_25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25</xdr:row>
          <xdr:rowOff>4445</xdr:rowOff>
        </xdr:from>
        <xdr:to>
          <xdr:col>2</xdr:col>
          <xdr:colOff>250825</xdr:colOff>
          <xdr:row>25</xdr:row>
          <xdr:rowOff>227965</xdr:rowOff>
        </xdr:to>
        <xdr:sp macro="" textlink="">
          <xdr:nvSpPr>
            <xdr:cNvPr id="2355" name="CheckBox_26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25</xdr:row>
          <xdr:rowOff>4445</xdr:rowOff>
        </xdr:from>
        <xdr:to>
          <xdr:col>3</xdr:col>
          <xdr:colOff>247015</xdr:colOff>
          <xdr:row>25</xdr:row>
          <xdr:rowOff>227965</xdr:rowOff>
        </xdr:to>
        <xdr:sp macro="" textlink="">
          <xdr:nvSpPr>
            <xdr:cNvPr id="2356" name="OptionButton_26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26</xdr:row>
          <xdr:rowOff>4445</xdr:rowOff>
        </xdr:from>
        <xdr:to>
          <xdr:col>2</xdr:col>
          <xdr:colOff>250825</xdr:colOff>
          <xdr:row>26</xdr:row>
          <xdr:rowOff>227965</xdr:rowOff>
        </xdr:to>
        <xdr:sp macro="" textlink="">
          <xdr:nvSpPr>
            <xdr:cNvPr id="2357" name="CheckBox_27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26</xdr:row>
          <xdr:rowOff>4445</xdr:rowOff>
        </xdr:from>
        <xdr:to>
          <xdr:col>3</xdr:col>
          <xdr:colOff>247015</xdr:colOff>
          <xdr:row>26</xdr:row>
          <xdr:rowOff>227965</xdr:rowOff>
        </xdr:to>
        <xdr:sp macro="" textlink="">
          <xdr:nvSpPr>
            <xdr:cNvPr id="2358" name="OptionButton_27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27</xdr:row>
          <xdr:rowOff>4445</xdr:rowOff>
        </xdr:from>
        <xdr:to>
          <xdr:col>2</xdr:col>
          <xdr:colOff>250825</xdr:colOff>
          <xdr:row>27</xdr:row>
          <xdr:rowOff>227965</xdr:rowOff>
        </xdr:to>
        <xdr:sp macro="" textlink="">
          <xdr:nvSpPr>
            <xdr:cNvPr id="2359" name="CheckBox_28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27</xdr:row>
          <xdr:rowOff>4445</xdr:rowOff>
        </xdr:from>
        <xdr:to>
          <xdr:col>3</xdr:col>
          <xdr:colOff>247015</xdr:colOff>
          <xdr:row>27</xdr:row>
          <xdr:rowOff>227965</xdr:rowOff>
        </xdr:to>
        <xdr:sp macro="" textlink="">
          <xdr:nvSpPr>
            <xdr:cNvPr id="2360" name="OptionButton_28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28</xdr:row>
          <xdr:rowOff>4445</xdr:rowOff>
        </xdr:from>
        <xdr:to>
          <xdr:col>2</xdr:col>
          <xdr:colOff>250825</xdr:colOff>
          <xdr:row>28</xdr:row>
          <xdr:rowOff>227965</xdr:rowOff>
        </xdr:to>
        <xdr:sp macro="" textlink="">
          <xdr:nvSpPr>
            <xdr:cNvPr id="2573" name="CheckBox_29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0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28</xdr:row>
          <xdr:rowOff>4445</xdr:rowOff>
        </xdr:from>
        <xdr:to>
          <xdr:col>3</xdr:col>
          <xdr:colOff>247015</xdr:colOff>
          <xdr:row>28</xdr:row>
          <xdr:rowOff>227965</xdr:rowOff>
        </xdr:to>
        <xdr:sp macro="" textlink="">
          <xdr:nvSpPr>
            <xdr:cNvPr id="2574" name="OptionButton_29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0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29</xdr:row>
          <xdr:rowOff>4445</xdr:rowOff>
        </xdr:from>
        <xdr:to>
          <xdr:col>2</xdr:col>
          <xdr:colOff>250825</xdr:colOff>
          <xdr:row>29</xdr:row>
          <xdr:rowOff>227965</xdr:rowOff>
        </xdr:to>
        <xdr:sp macro="" textlink="">
          <xdr:nvSpPr>
            <xdr:cNvPr id="3328" name="CheckBox_30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0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29</xdr:row>
          <xdr:rowOff>4445</xdr:rowOff>
        </xdr:from>
        <xdr:to>
          <xdr:col>3</xdr:col>
          <xdr:colOff>247015</xdr:colOff>
          <xdr:row>29</xdr:row>
          <xdr:rowOff>227965</xdr:rowOff>
        </xdr:to>
        <xdr:sp macro="" textlink="">
          <xdr:nvSpPr>
            <xdr:cNvPr id="3329" name="OptionButton_30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0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30</xdr:row>
          <xdr:rowOff>4445</xdr:rowOff>
        </xdr:from>
        <xdr:to>
          <xdr:col>2</xdr:col>
          <xdr:colOff>250825</xdr:colOff>
          <xdr:row>30</xdr:row>
          <xdr:rowOff>227965</xdr:rowOff>
        </xdr:to>
        <xdr:sp macro="" textlink="">
          <xdr:nvSpPr>
            <xdr:cNvPr id="3359" name="CheckBox_31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0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30</xdr:row>
          <xdr:rowOff>4445</xdr:rowOff>
        </xdr:from>
        <xdr:to>
          <xdr:col>3</xdr:col>
          <xdr:colOff>247015</xdr:colOff>
          <xdr:row>30</xdr:row>
          <xdr:rowOff>227965</xdr:rowOff>
        </xdr:to>
        <xdr:sp macro="" textlink="">
          <xdr:nvSpPr>
            <xdr:cNvPr id="3360" name="OptionButton_31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0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31</xdr:row>
          <xdr:rowOff>4445</xdr:rowOff>
        </xdr:from>
        <xdr:to>
          <xdr:col>2</xdr:col>
          <xdr:colOff>250825</xdr:colOff>
          <xdr:row>31</xdr:row>
          <xdr:rowOff>227965</xdr:rowOff>
        </xdr:to>
        <xdr:sp macro="" textlink="">
          <xdr:nvSpPr>
            <xdr:cNvPr id="3377" name="CheckBox_32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0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31</xdr:row>
          <xdr:rowOff>4445</xdr:rowOff>
        </xdr:from>
        <xdr:to>
          <xdr:col>3</xdr:col>
          <xdr:colOff>247015</xdr:colOff>
          <xdr:row>31</xdr:row>
          <xdr:rowOff>227965</xdr:rowOff>
        </xdr:to>
        <xdr:sp macro="" textlink="">
          <xdr:nvSpPr>
            <xdr:cNvPr id="3378" name="OptionButton_32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0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32</xdr:row>
          <xdr:rowOff>4445</xdr:rowOff>
        </xdr:from>
        <xdr:to>
          <xdr:col>2</xdr:col>
          <xdr:colOff>250825</xdr:colOff>
          <xdr:row>32</xdr:row>
          <xdr:rowOff>227965</xdr:rowOff>
        </xdr:to>
        <xdr:sp macro="" textlink="">
          <xdr:nvSpPr>
            <xdr:cNvPr id="3387" name="CheckBox_33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0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32</xdr:row>
          <xdr:rowOff>4445</xdr:rowOff>
        </xdr:from>
        <xdr:to>
          <xdr:col>3</xdr:col>
          <xdr:colOff>247015</xdr:colOff>
          <xdr:row>32</xdr:row>
          <xdr:rowOff>227965</xdr:rowOff>
        </xdr:to>
        <xdr:sp macro="" textlink="">
          <xdr:nvSpPr>
            <xdr:cNvPr id="3388" name="OptionButton_33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0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33</xdr:row>
          <xdr:rowOff>4445</xdr:rowOff>
        </xdr:from>
        <xdr:to>
          <xdr:col>2</xdr:col>
          <xdr:colOff>250825</xdr:colOff>
          <xdr:row>33</xdr:row>
          <xdr:rowOff>227965</xdr:rowOff>
        </xdr:to>
        <xdr:sp macro="" textlink="">
          <xdr:nvSpPr>
            <xdr:cNvPr id="3393" name="CheckBox_34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0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33</xdr:row>
          <xdr:rowOff>4445</xdr:rowOff>
        </xdr:from>
        <xdr:to>
          <xdr:col>3</xdr:col>
          <xdr:colOff>247015</xdr:colOff>
          <xdr:row>33</xdr:row>
          <xdr:rowOff>227965</xdr:rowOff>
        </xdr:to>
        <xdr:sp macro="" textlink="">
          <xdr:nvSpPr>
            <xdr:cNvPr id="3394" name="OptionButton_34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0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34</xdr:row>
          <xdr:rowOff>4445</xdr:rowOff>
        </xdr:from>
        <xdr:to>
          <xdr:col>2</xdr:col>
          <xdr:colOff>250825</xdr:colOff>
          <xdr:row>34</xdr:row>
          <xdr:rowOff>227965</xdr:rowOff>
        </xdr:to>
        <xdr:sp macro="" textlink="">
          <xdr:nvSpPr>
            <xdr:cNvPr id="3567" name="CheckBox_3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0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34</xdr:row>
          <xdr:rowOff>4445</xdr:rowOff>
        </xdr:from>
        <xdr:to>
          <xdr:col>3</xdr:col>
          <xdr:colOff>247015</xdr:colOff>
          <xdr:row>34</xdr:row>
          <xdr:rowOff>227965</xdr:rowOff>
        </xdr:to>
        <xdr:sp macro="" textlink="">
          <xdr:nvSpPr>
            <xdr:cNvPr id="3568" name="OptionButton_35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0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35</xdr:row>
          <xdr:rowOff>4445</xdr:rowOff>
        </xdr:from>
        <xdr:to>
          <xdr:col>2</xdr:col>
          <xdr:colOff>250825</xdr:colOff>
          <xdr:row>35</xdr:row>
          <xdr:rowOff>227965</xdr:rowOff>
        </xdr:to>
        <xdr:sp macro="" textlink="">
          <xdr:nvSpPr>
            <xdr:cNvPr id="3601" name="CheckBox_36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0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35</xdr:row>
          <xdr:rowOff>4445</xdr:rowOff>
        </xdr:from>
        <xdr:to>
          <xdr:col>3</xdr:col>
          <xdr:colOff>247015</xdr:colOff>
          <xdr:row>35</xdr:row>
          <xdr:rowOff>227965</xdr:rowOff>
        </xdr:to>
        <xdr:sp macro="" textlink="">
          <xdr:nvSpPr>
            <xdr:cNvPr id="3602" name="OptionButton_36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0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36</xdr:row>
          <xdr:rowOff>4445</xdr:rowOff>
        </xdr:from>
        <xdr:to>
          <xdr:col>2</xdr:col>
          <xdr:colOff>250825</xdr:colOff>
          <xdr:row>36</xdr:row>
          <xdr:rowOff>227965</xdr:rowOff>
        </xdr:to>
        <xdr:sp macro="" textlink="">
          <xdr:nvSpPr>
            <xdr:cNvPr id="4157" name="CheckBox_37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36</xdr:row>
          <xdr:rowOff>4445</xdr:rowOff>
        </xdr:from>
        <xdr:to>
          <xdr:col>3</xdr:col>
          <xdr:colOff>247015</xdr:colOff>
          <xdr:row>36</xdr:row>
          <xdr:rowOff>227965</xdr:rowOff>
        </xdr:to>
        <xdr:sp macro="" textlink="">
          <xdr:nvSpPr>
            <xdr:cNvPr id="4158" name="OptionButton_37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37</xdr:row>
          <xdr:rowOff>4445</xdr:rowOff>
        </xdr:from>
        <xdr:to>
          <xdr:col>2</xdr:col>
          <xdr:colOff>250825</xdr:colOff>
          <xdr:row>37</xdr:row>
          <xdr:rowOff>227965</xdr:rowOff>
        </xdr:to>
        <xdr:sp macro="" textlink="">
          <xdr:nvSpPr>
            <xdr:cNvPr id="4169" name="CheckBox_38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37</xdr:row>
          <xdr:rowOff>4445</xdr:rowOff>
        </xdr:from>
        <xdr:to>
          <xdr:col>3</xdr:col>
          <xdr:colOff>247015</xdr:colOff>
          <xdr:row>37</xdr:row>
          <xdr:rowOff>227965</xdr:rowOff>
        </xdr:to>
        <xdr:sp macro="" textlink="">
          <xdr:nvSpPr>
            <xdr:cNvPr id="4170" name="OptionButton_38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38</xdr:row>
          <xdr:rowOff>4445</xdr:rowOff>
        </xdr:from>
        <xdr:to>
          <xdr:col>2</xdr:col>
          <xdr:colOff>250825</xdr:colOff>
          <xdr:row>38</xdr:row>
          <xdr:rowOff>227965</xdr:rowOff>
        </xdr:to>
        <xdr:sp macro="" textlink="">
          <xdr:nvSpPr>
            <xdr:cNvPr id="4176" name="CheckBox_39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38</xdr:row>
          <xdr:rowOff>4445</xdr:rowOff>
        </xdr:from>
        <xdr:to>
          <xdr:col>3</xdr:col>
          <xdr:colOff>247015</xdr:colOff>
          <xdr:row>38</xdr:row>
          <xdr:rowOff>227965</xdr:rowOff>
        </xdr:to>
        <xdr:sp macro="" textlink="">
          <xdr:nvSpPr>
            <xdr:cNvPr id="4177" name="OptionButton_39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39</xdr:row>
          <xdr:rowOff>4445</xdr:rowOff>
        </xdr:from>
        <xdr:to>
          <xdr:col>2</xdr:col>
          <xdr:colOff>250825</xdr:colOff>
          <xdr:row>39</xdr:row>
          <xdr:rowOff>227965</xdr:rowOff>
        </xdr:to>
        <xdr:sp macro="" textlink="">
          <xdr:nvSpPr>
            <xdr:cNvPr id="4193" name="CheckBox_40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39</xdr:row>
          <xdr:rowOff>4445</xdr:rowOff>
        </xdr:from>
        <xdr:to>
          <xdr:col>3</xdr:col>
          <xdr:colOff>247015</xdr:colOff>
          <xdr:row>39</xdr:row>
          <xdr:rowOff>227965</xdr:rowOff>
        </xdr:to>
        <xdr:sp macro="" textlink="">
          <xdr:nvSpPr>
            <xdr:cNvPr id="4194" name="OptionButton_40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40</xdr:row>
          <xdr:rowOff>4445</xdr:rowOff>
        </xdr:from>
        <xdr:to>
          <xdr:col>2</xdr:col>
          <xdr:colOff>250825</xdr:colOff>
          <xdr:row>40</xdr:row>
          <xdr:rowOff>227965</xdr:rowOff>
        </xdr:to>
        <xdr:sp macro="" textlink="">
          <xdr:nvSpPr>
            <xdr:cNvPr id="4577" name="CheckBox_41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00000000-0008-0000-0000-0000E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40</xdr:row>
          <xdr:rowOff>4445</xdr:rowOff>
        </xdr:from>
        <xdr:to>
          <xdr:col>3</xdr:col>
          <xdr:colOff>247015</xdr:colOff>
          <xdr:row>40</xdr:row>
          <xdr:rowOff>227965</xdr:rowOff>
        </xdr:to>
        <xdr:sp macro="" textlink="">
          <xdr:nvSpPr>
            <xdr:cNvPr id="4578" name="OptionButton_41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0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41</xdr:row>
          <xdr:rowOff>4445</xdr:rowOff>
        </xdr:from>
        <xdr:to>
          <xdr:col>2</xdr:col>
          <xdr:colOff>250825</xdr:colOff>
          <xdr:row>41</xdr:row>
          <xdr:rowOff>227965</xdr:rowOff>
        </xdr:to>
        <xdr:sp macro="" textlink="">
          <xdr:nvSpPr>
            <xdr:cNvPr id="4614" name="CheckBox_42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00000000-0008-0000-0000-00000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41</xdr:row>
          <xdr:rowOff>4445</xdr:rowOff>
        </xdr:from>
        <xdr:to>
          <xdr:col>3</xdr:col>
          <xdr:colOff>247015</xdr:colOff>
          <xdr:row>41</xdr:row>
          <xdr:rowOff>227965</xdr:rowOff>
        </xdr:to>
        <xdr:sp macro="" textlink="">
          <xdr:nvSpPr>
            <xdr:cNvPr id="4615" name="OptionButton_42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00000000-0008-0000-0000-00000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42</xdr:row>
          <xdr:rowOff>4445</xdr:rowOff>
        </xdr:from>
        <xdr:to>
          <xdr:col>2</xdr:col>
          <xdr:colOff>250825</xdr:colOff>
          <xdr:row>42</xdr:row>
          <xdr:rowOff>227965</xdr:rowOff>
        </xdr:to>
        <xdr:sp macro="" textlink="">
          <xdr:nvSpPr>
            <xdr:cNvPr id="4626" name="CheckBox_43" hidden="1">
              <a:extLst>
                <a:ext uri="{63B3BB69-23CF-44E3-9099-C40C66FF867C}">
                  <a14:compatExt spid="_x0000_s4626"/>
                </a:ext>
                <a:ext uri="{FF2B5EF4-FFF2-40B4-BE49-F238E27FC236}">
                  <a16:creationId xmlns:a16="http://schemas.microsoft.com/office/drawing/2014/main" id="{00000000-0008-0000-0000-00001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42</xdr:row>
          <xdr:rowOff>4445</xdr:rowOff>
        </xdr:from>
        <xdr:to>
          <xdr:col>3</xdr:col>
          <xdr:colOff>247015</xdr:colOff>
          <xdr:row>42</xdr:row>
          <xdr:rowOff>227965</xdr:rowOff>
        </xdr:to>
        <xdr:sp macro="" textlink="">
          <xdr:nvSpPr>
            <xdr:cNvPr id="4627" name="OptionButton_43" hidden="1">
              <a:extLst>
                <a:ext uri="{63B3BB69-23CF-44E3-9099-C40C66FF867C}">
                  <a14:compatExt spid="_x0000_s4627"/>
                </a:ext>
                <a:ext uri="{FF2B5EF4-FFF2-40B4-BE49-F238E27FC236}">
                  <a16:creationId xmlns:a16="http://schemas.microsoft.com/office/drawing/2014/main" id="{00000000-0008-0000-0000-00001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43</xdr:row>
          <xdr:rowOff>4445</xdr:rowOff>
        </xdr:from>
        <xdr:to>
          <xdr:col>2</xdr:col>
          <xdr:colOff>250825</xdr:colOff>
          <xdr:row>43</xdr:row>
          <xdr:rowOff>227965</xdr:rowOff>
        </xdr:to>
        <xdr:sp macro="" textlink="">
          <xdr:nvSpPr>
            <xdr:cNvPr id="4638" name="CheckBox_44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0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43</xdr:row>
          <xdr:rowOff>4445</xdr:rowOff>
        </xdr:from>
        <xdr:to>
          <xdr:col>3</xdr:col>
          <xdr:colOff>247015</xdr:colOff>
          <xdr:row>43</xdr:row>
          <xdr:rowOff>227965</xdr:rowOff>
        </xdr:to>
        <xdr:sp macro="" textlink="">
          <xdr:nvSpPr>
            <xdr:cNvPr id="4639" name="OptionButton_44" hidden="1">
              <a:extLst>
                <a:ext uri="{63B3BB69-23CF-44E3-9099-C40C66FF867C}">
                  <a14:compatExt spid="_x0000_s4639"/>
                </a:ext>
                <a:ext uri="{FF2B5EF4-FFF2-40B4-BE49-F238E27FC236}">
                  <a16:creationId xmlns:a16="http://schemas.microsoft.com/office/drawing/2014/main" id="{00000000-0008-0000-0000-00001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44</xdr:row>
          <xdr:rowOff>4445</xdr:rowOff>
        </xdr:from>
        <xdr:to>
          <xdr:col>2</xdr:col>
          <xdr:colOff>250825</xdr:colOff>
          <xdr:row>44</xdr:row>
          <xdr:rowOff>227965</xdr:rowOff>
        </xdr:to>
        <xdr:sp macro="" textlink="">
          <xdr:nvSpPr>
            <xdr:cNvPr id="4798" name="CheckBox_45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0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44</xdr:row>
          <xdr:rowOff>4445</xdr:rowOff>
        </xdr:from>
        <xdr:to>
          <xdr:col>3</xdr:col>
          <xdr:colOff>247015</xdr:colOff>
          <xdr:row>44</xdr:row>
          <xdr:rowOff>227965</xdr:rowOff>
        </xdr:to>
        <xdr:sp macro="" textlink="">
          <xdr:nvSpPr>
            <xdr:cNvPr id="4799" name="OptionButton_45" hidden="1">
              <a:extLst>
                <a:ext uri="{63B3BB69-23CF-44E3-9099-C40C66FF867C}">
                  <a14:compatExt spid="_x0000_s4799"/>
                </a:ext>
                <a:ext uri="{FF2B5EF4-FFF2-40B4-BE49-F238E27FC236}">
                  <a16:creationId xmlns:a16="http://schemas.microsoft.com/office/drawing/2014/main" id="{00000000-0008-0000-0000-0000B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45</xdr:row>
          <xdr:rowOff>4445</xdr:rowOff>
        </xdr:from>
        <xdr:to>
          <xdr:col>2</xdr:col>
          <xdr:colOff>250825</xdr:colOff>
          <xdr:row>45</xdr:row>
          <xdr:rowOff>227965</xdr:rowOff>
        </xdr:to>
        <xdr:sp macro="" textlink="">
          <xdr:nvSpPr>
            <xdr:cNvPr id="4805" name="CheckBox_46" hidden="1">
              <a:extLst>
                <a:ext uri="{63B3BB69-23CF-44E3-9099-C40C66FF867C}">
                  <a14:compatExt spid="_x0000_s4805"/>
                </a:ext>
                <a:ext uri="{FF2B5EF4-FFF2-40B4-BE49-F238E27FC236}">
                  <a16:creationId xmlns:a16="http://schemas.microsoft.com/office/drawing/2014/main" id="{00000000-0008-0000-0000-0000C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45</xdr:row>
          <xdr:rowOff>4445</xdr:rowOff>
        </xdr:from>
        <xdr:to>
          <xdr:col>3</xdr:col>
          <xdr:colOff>247015</xdr:colOff>
          <xdr:row>45</xdr:row>
          <xdr:rowOff>227965</xdr:rowOff>
        </xdr:to>
        <xdr:sp macro="" textlink="">
          <xdr:nvSpPr>
            <xdr:cNvPr id="4806" name="OptionButton_46" hidden="1">
              <a:extLst>
                <a:ext uri="{63B3BB69-23CF-44E3-9099-C40C66FF867C}">
                  <a14:compatExt spid="_x0000_s4806"/>
                </a:ext>
                <a:ext uri="{FF2B5EF4-FFF2-40B4-BE49-F238E27FC236}">
                  <a16:creationId xmlns:a16="http://schemas.microsoft.com/office/drawing/2014/main" id="{00000000-0008-0000-0000-0000C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46</xdr:row>
          <xdr:rowOff>4445</xdr:rowOff>
        </xdr:from>
        <xdr:to>
          <xdr:col>2</xdr:col>
          <xdr:colOff>250825</xdr:colOff>
          <xdr:row>46</xdr:row>
          <xdr:rowOff>227965</xdr:rowOff>
        </xdr:to>
        <xdr:sp macro="" textlink="">
          <xdr:nvSpPr>
            <xdr:cNvPr id="4812" name="CheckBox_47" hidden="1">
              <a:extLst>
                <a:ext uri="{63B3BB69-23CF-44E3-9099-C40C66FF867C}">
                  <a14:compatExt spid="_x0000_s4812"/>
                </a:ext>
                <a:ext uri="{FF2B5EF4-FFF2-40B4-BE49-F238E27FC236}">
                  <a16:creationId xmlns:a16="http://schemas.microsoft.com/office/drawing/2014/main" id="{00000000-0008-0000-0000-0000C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46</xdr:row>
          <xdr:rowOff>4445</xdr:rowOff>
        </xdr:from>
        <xdr:to>
          <xdr:col>3</xdr:col>
          <xdr:colOff>247015</xdr:colOff>
          <xdr:row>46</xdr:row>
          <xdr:rowOff>227965</xdr:rowOff>
        </xdr:to>
        <xdr:sp macro="" textlink="">
          <xdr:nvSpPr>
            <xdr:cNvPr id="4813" name="OptionButton_47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0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47</xdr:row>
          <xdr:rowOff>4445</xdr:rowOff>
        </xdr:from>
        <xdr:to>
          <xdr:col>2</xdr:col>
          <xdr:colOff>250825</xdr:colOff>
          <xdr:row>47</xdr:row>
          <xdr:rowOff>227965</xdr:rowOff>
        </xdr:to>
        <xdr:sp macro="" textlink="">
          <xdr:nvSpPr>
            <xdr:cNvPr id="4824" name="CheckBox_48" hidden="1">
              <a:extLst>
                <a:ext uri="{63B3BB69-23CF-44E3-9099-C40C66FF867C}">
                  <a14:compatExt spid="_x0000_s4824"/>
                </a:ext>
                <a:ext uri="{FF2B5EF4-FFF2-40B4-BE49-F238E27FC236}">
                  <a16:creationId xmlns:a16="http://schemas.microsoft.com/office/drawing/2014/main" id="{00000000-0008-0000-0000-0000D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47</xdr:row>
          <xdr:rowOff>4445</xdr:rowOff>
        </xdr:from>
        <xdr:to>
          <xdr:col>3</xdr:col>
          <xdr:colOff>247015</xdr:colOff>
          <xdr:row>47</xdr:row>
          <xdr:rowOff>227965</xdr:rowOff>
        </xdr:to>
        <xdr:sp macro="" textlink="">
          <xdr:nvSpPr>
            <xdr:cNvPr id="4825" name="OptionButton_48" hidden="1">
              <a:extLst>
                <a:ext uri="{63B3BB69-23CF-44E3-9099-C40C66FF867C}">
                  <a14:compatExt spid="_x0000_s4825"/>
                </a:ext>
                <a:ext uri="{FF2B5EF4-FFF2-40B4-BE49-F238E27FC236}">
                  <a16:creationId xmlns:a16="http://schemas.microsoft.com/office/drawing/2014/main" id="{00000000-0008-0000-0000-0000D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48</xdr:row>
          <xdr:rowOff>4445</xdr:rowOff>
        </xdr:from>
        <xdr:to>
          <xdr:col>2</xdr:col>
          <xdr:colOff>250825</xdr:colOff>
          <xdr:row>48</xdr:row>
          <xdr:rowOff>227965</xdr:rowOff>
        </xdr:to>
        <xdr:sp macro="" textlink="">
          <xdr:nvSpPr>
            <xdr:cNvPr id="4841" name="CheckBox_49" hidden="1">
              <a:extLst>
                <a:ext uri="{63B3BB69-23CF-44E3-9099-C40C66FF867C}">
                  <a14:compatExt spid="_x0000_s4841"/>
                </a:ext>
                <a:ext uri="{FF2B5EF4-FFF2-40B4-BE49-F238E27FC236}">
                  <a16:creationId xmlns:a16="http://schemas.microsoft.com/office/drawing/2014/main" id="{00000000-0008-0000-0000-0000E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48</xdr:row>
          <xdr:rowOff>4445</xdr:rowOff>
        </xdr:from>
        <xdr:to>
          <xdr:col>3</xdr:col>
          <xdr:colOff>247015</xdr:colOff>
          <xdr:row>48</xdr:row>
          <xdr:rowOff>227965</xdr:rowOff>
        </xdr:to>
        <xdr:sp macro="" textlink="">
          <xdr:nvSpPr>
            <xdr:cNvPr id="4842" name="OptionButton_49" hidden="1">
              <a:extLst>
                <a:ext uri="{63B3BB69-23CF-44E3-9099-C40C66FF867C}">
                  <a14:compatExt spid="_x0000_s4842"/>
                </a:ext>
                <a:ext uri="{FF2B5EF4-FFF2-40B4-BE49-F238E27FC236}">
                  <a16:creationId xmlns:a16="http://schemas.microsoft.com/office/drawing/2014/main" id="{00000000-0008-0000-0000-0000E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49</xdr:row>
          <xdr:rowOff>4445</xdr:rowOff>
        </xdr:from>
        <xdr:to>
          <xdr:col>2</xdr:col>
          <xdr:colOff>250825</xdr:colOff>
          <xdr:row>49</xdr:row>
          <xdr:rowOff>227965</xdr:rowOff>
        </xdr:to>
        <xdr:sp macro="" textlink="">
          <xdr:nvSpPr>
            <xdr:cNvPr id="4848" name="CheckBox_50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0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49</xdr:row>
          <xdr:rowOff>4445</xdr:rowOff>
        </xdr:from>
        <xdr:to>
          <xdr:col>3</xdr:col>
          <xdr:colOff>247015</xdr:colOff>
          <xdr:row>49</xdr:row>
          <xdr:rowOff>227965</xdr:rowOff>
        </xdr:to>
        <xdr:sp macro="" textlink="">
          <xdr:nvSpPr>
            <xdr:cNvPr id="4849" name="OptionButton_50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50</xdr:row>
          <xdr:rowOff>4445</xdr:rowOff>
        </xdr:from>
        <xdr:to>
          <xdr:col>2</xdr:col>
          <xdr:colOff>250825</xdr:colOff>
          <xdr:row>50</xdr:row>
          <xdr:rowOff>227965</xdr:rowOff>
        </xdr:to>
        <xdr:sp macro="" textlink="">
          <xdr:nvSpPr>
            <xdr:cNvPr id="4865" name="CheckBox_51" hidden="1">
              <a:extLst>
                <a:ext uri="{63B3BB69-23CF-44E3-9099-C40C66FF867C}">
                  <a14:compatExt spid="_x0000_s4865"/>
                </a:ext>
                <a:ext uri="{FF2B5EF4-FFF2-40B4-BE49-F238E27FC236}">
                  <a16:creationId xmlns:a16="http://schemas.microsoft.com/office/drawing/2014/main" id="{00000000-0008-0000-0000-00000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50</xdr:row>
          <xdr:rowOff>4445</xdr:rowOff>
        </xdr:from>
        <xdr:to>
          <xdr:col>3</xdr:col>
          <xdr:colOff>247015</xdr:colOff>
          <xdr:row>50</xdr:row>
          <xdr:rowOff>227965</xdr:rowOff>
        </xdr:to>
        <xdr:sp macro="" textlink="">
          <xdr:nvSpPr>
            <xdr:cNvPr id="4866" name="OptionButton_51" hidden="1">
              <a:extLst>
                <a:ext uri="{63B3BB69-23CF-44E3-9099-C40C66FF867C}">
                  <a14:compatExt spid="_x0000_s4866"/>
                </a:ext>
                <a:ext uri="{FF2B5EF4-FFF2-40B4-BE49-F238E27FC236}">
                  <a16:creationId xmlns:a16="http://schemas.microsoft.com/office/drawing/2014/main" id="{00000000-0008-0000-0000-00000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51</xdr:row>
          <xdr:rowOff>4445</xdr:rowOff>
        </xdr:from>
        <xdr:to>
          <xdr:col>2</xdr:col>
          <xdr:colOff>250825</xdr:colOff>
          <xdr:row>51</xdr:row>
          <xdr:rowOff>227965</xdr:rowOff>
        </xdr:to>
        <xdr:sp macro="" textlink="">
          <xdr:nvSpPr>
            <xdr:cNvPr id="4872" name="CheckBox_52" hidden="1">
              <a:extLst>
                <a:ext uri="{63B3BB69-23CF-44E3-9099-C40C66FF867C}">
                  <a14:compatExt spid="_x0000_s4872"/>
                </a:ext>
                <a:ext uri="{FF2B5EF4-FFF2-40B4-BE49-F238E27FC236}">
                  <a16:creationId xmlns:a16="http://schemas.microsoft.com/office/drawing/2014/main" id="{00000000-0008-0000-0000-00000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51</xdr:row>
          <xdr:rowOff>4445</xdr:rowOff>
        </xdr:from>
        <xdr:to>
          <xdr:col>3</xdr:col>
          <xdr:colOff>247015</xdr:colOff>
          <xdr:row>51</xdr:row>
          <xdr:rowOff>227965</xdr:rowOff>
        </xdr:to>
        <xdr:sp macro="" textlink="">
          <xdr:nvSpPr>
            <xdr:cNvPr id="4873" name="OptionButton_52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0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52</xdr:row>
          <xdr:rowOff>4445</xdr:rowOff>
        </xdr:from>
        <xdr:to>
          <xdr:col>2</xdr:col>
          <xdr:colOff>250825</xdr:colOff>
          <xdr:row>52</xdr:row>
          <xdr:rowOff>227965</xdr:rowOff>
        </xdr:to>
        <xdr:sp macro="" textlink="">
          <xdr:nvSpPr>
            <xdr:cNvPr id="4889" name="CheckBox_53" hidden="1">
              <a:extLst>
                <a:ext uri="{63B3BB69-23CF-44E3-9099-C40C66FF867C}">
                  <a14:compatExt spid="_x0000_s4889"/>
                </a:ext>
                <a:ext uri="{FF2B5EF4-FFF2-40B4-BE49-F238E27FC236}">
                  <a16:creationId xmlns:a16="http://schemas.microsoft.com/office/drawing/2014/main" id="{00000000-0008-0000-0000-00001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52</xdr:row>
          <xdr:rowOff>4445</xdr:rowOff>
        </xdr:from>
        <xdr:to>
          <xdr:col>3</xdr:col>
          <xdr:colOff>247015</xdr:colOff>
          <xdr:row>52</xdr:row>
          <xdr:rowOff>227965</xdr:rowOff>
        </xdr:to>
        <xdr:sp macro="" textlink="">
          <xdr:nvSpPr>
            <xdr:cNvPr id="4890" name="OptionButton_53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00000000-0008-0000-0000-00001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53</xdr:row>
          <xdr:rowOff>4445</xdr:rowOff>
        </xdr:from>
        <xdr:to>
          <xdr:col>2</xdr:col>
          <xdr:colOff>250825</xdr:colOff>
          <xdr:row>53</xdr:row>
          <xdr:rowOff>227965</xdr:rowOff>
        </xdr:to>
        <xdr:sp macro="" textlink="">
          <xdr:nvSpPr>
            <xdr:cNvPr id="4896" name="CheckBox_54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00000000-0008-0000-0000-00002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53</xdr:row>
          <xdr:rowOff>4445</xdr:rowOff>
        </xdr:from>
        <xdr:to>
          <xdr:col>3</xdr:col>
          <xdr:colOff>247015</xdr:colOff>
          <xdr:row>53</xdr:row>
          <xdr:rowOff>227965</xdr:rowOff>
        </xdr:to>
        <xdr:sp macro="" textlink="">
          <xdr:nvSpPr>
            <xdr:cNvPr id="4897" name="OptionButton_54" hidden="1">
              <a:extLst>
                <a:ext uri="{63B3BB69-23CF-44E3-9099-C40C66FF867C}">
                  <a14:compatExt spid="_x0000_s4897"/>
                </a:ext>
                <a:ext uri="{FF2B5EF4-FFF2-40B4-BE49-F238E27FC236}">
                  <a16:creationId xmlns:a16="http://schemas.microsoft.com/office/drawing/2014/main" id="{00000000-0008-0000-0000-00002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238760</xdr:colOff>
          <xdr:row>53</xdr:row>
          <xdr:rowOff>220980</xdr:rowOff>
        </xdr:to>
        <xdr:sp macro="" textlink="">
          <xdr:nvSpPr>
            <xdr:cNvPr id="5341" name="OptionGroupBox_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A29B79C2-48A3-F987-503B-155510746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18</xdr:col>
          <xdr:colOff>3429000</xdr:colOff>
          <xdr:row>3</xdr:row>
          <xdr:rowOff>0</xdr:rowOff>
        </xdr:to>
        <xdr:sp macro="" textlink="">
          <xdr:nvSpPr>
            <xdr:cNvPr id="5342" name="ExecuteComboBox_1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AF3F194B-6D31-8E3F-F441-F9DFEDBF5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343" name="ExecuteButton_1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50ADAC44-A183-A3D1-4952-59FF85869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3429000</xdr:colOff>
          <xdr:row>2</xdr:row>
          <xdr:rowOff>0</xdr:rowOff>
        </xdr:from>
        <xdr:to>
          <xdr:col>18</xdr:col>
          <xdr:colOff>4124325</xdr:colOff>
          <xdr:row>3</xdr:row>
          <xdr:rowOff>0</xdr:rowOff>
        </xdr:to>
        <xdr:sp macro="" textlink="">
          <xdr:nvSpPr>
            <xdr:cNvPr id="5344" name="ResetButton_1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15F48C74-FD50-C84F-631A-12E54AFF3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4124325</xdr:colOff>
          <xdr:row>2</xdr:row>
          <xdr:rowOff>0</xdr:rowOff>
        </xdr:from>
        <xdr:to>
          <xdr:col>19</xdr:col>
          <xdr:colOff>523875</xdr:colOff>
          <xdr:row>3</xdr:row>
          <xdr:rowOff>0</xdr:rowOff>
        </xdr:to>
        <xdr:sp macro="" textlink="">
          <xdr:nvSpPr>
            <xdr:cNvPr id="5345" name="RecalculateButton_1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B6442246-EB69-423B-9E38-BF5F17E39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再計算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77"/>
  <sheetViews>
    <sheetView tabSelected="1" topLeftCell="B1" zoomScaleNormal="100" workbookViewId="0">
      <pane xSplit="22" ySplit="5" topLeftCell="X6" activePane="bottomRight" state="frozen"/>
      <selection activeCell="B1" sqref="B1"/>
      <selection pane="topRight" activeCell="W1" sqref="W1"/>
      <selection pane="bottomLeft" activeCell="B6" sqref="B6"/>
      <selection pane="bottomRight" activeCell="S7" sqref="S7"/>
    </sheetView>
  </sheetViews>
  <sheetFormatPr defaultRowHeight="15" customHeight="1"/>
  <cols>
    <col min="1" max="1" width="2" style="1" hidden="1" customWidth="1"/>
    <col min="2" max="2" width="3.125" style="1" customWidth="1"/>
    <col min="3" max="4" width="3.25" style="1" customWidth="1"/>
    <col min="5" max="10" width="3.625" style="1" customWidth="1"/>
    <col min="11" max="11" width="17.125" style="1" hidden="1" customWidth="1"/>
    <col min="12" max="12" width="4.125" style="1" customWidth="1"/>
    <col min="13" max="18" width="2.125" style="1" customWidth="1"/>
    <col min="19" max="19" width="56.375" style="1" customWidth="1"/>
    <col min="20" max="21" width="7.625" style="1" customWidth="1"/>
    <col min="22" max="22" width="5.625" style="1" customWidth="1"/>
    <col min="23" max="23" width="8.625" style="1" customWidth="1"/>
    <col min="24" max="25" width="10.625" style="1" customWidth="1"/>
    <col min="26" max="26" width="15.875" style="1" customWidth="1"/>
    <col min="27" max="27" width="8.625" style="1" customWidth="1"/>
    <col min="28" max="29" width="10.625" style="1" customWidth="1"/>
    <col min="30" max="31" width="8.625" style="1" customWidth="1"/>
    <col min="32" max="33" width="10.625" style="1" customWidth="1"/>
    <col min="34" max="34" width="40.25" style="1" customWidth="1"/>
    <col min="35" max="35" width="2.625" style="1" customWidth="1"/>
    <col min="36" max="37" width="12.625" style="43" customWidth="1"/>
    <col min="38" max="16384" width="9" style="1"/>
  </cols>
  <sheetData>
    <row r="1" spans="1:37" ht="3.75" customHeight="1">
      <c r="A1" s="3"/>
      <c r="E1" s="2"/>
    </row>
    <row r="2" spans="1:37" ht="30" customHeight="1">
      <c r="B2" s="24" t="s">
        <v>28</v>
      </c>
    </row>
    <row r="3" spans="1:37" ht="18" customHeight="1">
      <c r="AH3" s="49" t="s">
        <v>52</v>
      </c>
    </row>
    <row r="4" spans="1:37" s="4" customFormat="1" ht="15" customHeight="1">
      <c r="C4" s="27" t="s">
        <v>29</v>
      </c>
      <c r="D4" s="28" t="s">
        <v>30</v>
      </c>
      <c r="E4" s="27" t="s">
        <v>0</v>
      </c>
      <c r="F4" s="28" t="s">
        <v>1</v>
      </c>
      <c r="G4" s="28" t="s">
        <v>2</v>
      </c>
      <c r="H4" s="28" t="s">
        <v>20</v>
      </c>
      <c r="I4" s="28" t="s">
        <v>21</v>
      </c>
      <c r="J4" s="30" t="s">
        <v>13</v>
      </c>
      <c r="K4" s="27" t="s">
        <v>18</v>
      </c>
      <c r="L4" s="28" t="s">
        <v>16</v>
      </c>
      <c r="M4" s="28" t="s">
        <v>17</v>
      </c>
      <c r="N4" s="28" t="s">
        <v>1</v>
      </c>
      <c r="O4" s="28" t="s">
        <v>2</v>
      </c>
      <c r="P4" s="28" t="s">
        <v>20</v>
      </c>
      <c r="Q4" s="28" t="s">
        <v>21</v>
      </c>
      <c r="R4" s="31" t="s">
        <v>13</v>
      </c>
      <c r="S4" s="32"/>
      <c r="T4" s="10" t="s">
        <v>32</v>
      </c>
      <c r="U4" s="13" t="s">
        <v>33</v>
      </c>
      <c r="V4" s="33"/>
      <c r="W4" s="11"/>
      <c r="X4" s="11"/>
      <c r="Y4" s="12"/>
      <c r="Z4" s="9"/>
      <c r="AA4" s="13" t="s">
        <v>10</v>
      </c>
      <c r="AB4" s="14"/>
      <c r="AC4" s="15"/>
      <c r="AD4" s="13" t="s">
        <v>11</v>
      </c>
      <c r="AE4" s="14"/>
      <c r="AF4" s="14"/>
      <c r="AG4" s="15"/>
      <c r="AH4" s="9"/>
      <c r="AJ4" s="42" t="s">
        <v>36</v>
      </c>
      <c r="AK4" s="44"/>
    </row>
    <row r="5" spans="1:37" s="4" customFormat="1" ht="15" customHeight="1">
      <c r="A5" s="4" t="s">
        <v>15</v>
      </c>
      <c r="C5" s="20"/>
      <c r="D5" s="26"/>
      <c r="E5" s="17" t="s">
        <v>3</v>
      </c>
      <c r="F5" s="18"/>
      <c r="G5" s="18"/>
      <c r="H5" s="18"/>
      <c r="I5" s="18"/>
      <c r="J5" s="29"/>
      <c r="K5" s="17" t="s">
        <v>4</v>
      </c>
      <c r="L5" s="18" t="s">
        <v>31</v>
      </c>
      <c r="M5" s="18"/>
      <c r="N5" s="18"/>
      <c r="O5" s="18"/>
      <c r="P5" s="18"/>
      <c r="Q5" s="18"/>
      <c r="R5" s="18"/>
      <c r="S5" s="39"/>
      <c r="T5" s="22" t="s">
        <v>25</v>
      </c>
      <c r="U5" s="22" t="s">
        <v>34</v>
      </c>
      <c r="V5" s="34" t="s">
        <v>26</v>
      </c>
      <c r="W5" s="20" t="s">
        <v>6</v>
      </c>
      <c r="X5" s="20" t="s">
        <v>35</v>
      </c>
      <c r="Y5" s="19" t="s">
        <v>5</v>
      </c>
      <c r="Z5" s="16" t="s">
        <v>7</v>
      </c>
      <c r="AA5" s="21" t="s">
        <v>27</v>
      </c>
      <c r="AB5" s="22" t="s">
        <v>8</v>
      </c>
      <c r="AC5" s="23" t="s">
        <v>9</v>
      </c>
      <c r="AD5" s="21" t="s">
        <v>48</v>
      </c>
      <c r="AE5" s="21" t="s">
        <v>49</v>
      </c>
      <c r="AF5" s="22" t="s">
        <v>8</v>
      </c>
      <c r="AG5" s="23" t="s">
        <v>9</v>
      </c>
      <c r="AH5" s="40" t="s">
        <v>12</v>
      </c>
      <c r="AJ5" s="41" t="s">
        <v>35</v>
      </c>
      <c r="AK5" s="41" t="s">
        <v>5</v>
      </c>
    </row>
    <row r="6" spans="1:37" s="4" customFormat="1" ht="18" customHeight="1">
      <c r="B6" s="5"/>
      <c r="C6" s="6"/>
      <c r="D6" s="6"/>
      <c r="E6" s="6">
        <v>1</v>
      </c>
      <c r="F6" s="6"/>
      <c r="G6" s="6"/>
      <c r="H6" s="6"/>
      <c r="I6" s="6"/>
      <c r="J6" s="6"/>
      <c r="K6" s="51" t="str">
        <f t="shared" ref="K6:K37" si="0">IF(B6="E","ERROR",IF(E6="","XXX.XXX.XXX.XXX.XXX.XXX", _xlfn.CONCAT(TEXT(E6,"000"),IF(F6="",".---", "." &amp; TEXT(F6,"000")),IF(G6="",".---", "." &amp; TEXT(G6,"000")),IF(H6="",".---", "." &amp; TEXT(H6,"000")),IF(I6="",".---", "." &amp; TEXT(I6,"000")),IF(J6="",".---", "." &amp; TEXT(J6,"000")))))</f>
        <v>001.---.---.---.---.---</v>
      </c>
      <c r="L6" s="50" t="str">
        <f t="shared" ref="L6:L37" si="1">IF(B6="E","ERROR",IF(E6="","",_xlfn.CONCAT(E6,IF(F6="","","."&amp;F6 ), IF(G6="","","."&amp;G6 ), IF(H6="","","."&amp;H6 ), IF(I6="","","."&amp;I6 ), IF(J6="","",".T"&amp;J6 ))))</f>
        <v>1</v>
      </c>
      <c r="M6" s="7" t="s">
        <v>71</v>
      </c>
      <c r="N6" s="7"/>
      <c r="O6" s="7"/>
      <c r="P6" s="7"/>
      <c r="Q6" s="7"/>
      <c r="R6" s="7"/>
      <c r="S6" s="7"/>
      <c r="T6" s="25">
        <v>1</v>
      </c>
      <c r="U6" s="25">
        <v>1</v>
      </c>
      <c r="V6" s="6">
        <v>1</v>
      </c>
      <c r="W6" s="6" t="s">
        <v>19</v>
      </c>
      <c r="X6" s="7"/>
      <c r="Y6" s="7"/>
      <c r="Z6" s="7"/>
      <c r="AA6" s="6">
        <v>40</v>
      </c>
      <c r="AB6" s="8"/>
      <c r="AC6" s="8"/>
      <c r="AD6" s="6">
        <v>0</v>
      </c>
      <c r="AE6" s="6">
        <v>40</v>
      </c>
      <c r="AF6" s="8"/>
      <c r="AG6" s="8"/>
      <c r="AH6" s="7"/>
      <c r="AJ6" s="6" t="s">
        <v>38</v>
      </c>
      <c r="AK6" s="6" t="s">
        <v>39</v>
      </c>
    </row>
    <row r="7" spans="1:37" s="4" customFormat="1" ht="18" customHeight="1">
      <c r="B7" s="5"/>
      <c r="C7" s="6"/>
      <c r="D7" s="6"/>
      <c r="E7" s="6">
        <v>1</v>
      </c>
      <c r="F7" s="6"/>
      <c r="G7" s="6"/>
      <c r="H7" s="6"/>
      <c r="I7" s="6"/>
      <c r="J7" s="6">
        <v>1</v>
      </c>
      <c r="K7" s="51" t="str">
        <f t="shared" si="0"/>
        <v>001.---.---.---.---.001</v>
      </c>
      <c r="L7" s="50" t="str">
        <f t="shared" si="1"/>
        <v>1.T1</v>
      </c>
      <c r="M7" s="7"/>
      <c r="N7" s="7"/>
      <c r="O7" s="7"/>
      <c r="P7" s="7"/>
      <c r="Q7" s="7"/>
      <c r="R7" s="7" t="s">
        <v>56</v>
      </c>
      <c r="S7" s="7"/>
      <c r="T7" s="25">
        <v>1</v>
      </c>
      <c r="U7" s="25">
        <v>1</v>
      </c>
      <c r="V7" s="6">
        <v>1</v>
      </c>
      <c r="W7" s="6" t="s">
        <v>19</v>
      </c>
      <c r="X7" s="7"/>
      <c r="Y7" s="7"/>
      <c r="Z7" s="7"/>
      <c r="AA7" s="6">
        <v>20</v>
      </c>
      <c r="AB7" s="8"/>
      <c r="AC7" s="8"/>
      <c r="AD7" s="6">
        <v>0</v>
      </c>
      <c r="AE7" s="6">
        <v>20</v>
      </c>
      <c r="AF7" s="8"/>
      <c r="AG7" s="8"/>
      <c r="AH7" s="7"/>
      <c r="AJ7" s="6" t="s">
        <v>53</v>
      </c>
      <c r="AK7" s="6" t="s">
        <v>40</v>
      </c>
    </row>
    <row r="8" spans="1:37" s="4" customFormat="1" ht="18" customHeight="1">
      <c r="B8" s="5"/>
      <c r="C8" s="6"/>
      <c r="D8" s="6"/>
      <c r="E8" s="6">
        <v>1</v>
      </c>
      <c r="F8" s="6"/>
      <c r="G8" s="6"/>
      <c r="H8" s="6"/>
      <c r="I8" s="6"/>
      <c r="J8" s="6">
        <v>2</v>
      </c>
      <c r="K8" s="51" t="str">
        <f t="shared" si="0"/>
        <v>001.---.---.---.---.002</v>
      </c>
      <c r="L8" s="50" t="str">
        <f t="shared" si="1"/>
        <v>1.T2</v>
      </c>
      <c r="M8" s="7"/>
      <c r="N8" s="7"/>
      <c r="O8" s="7"/>
      <c r="P8" s="7"/>
      <c r="Q8" s="7"/>
      <c r="R8" s="7" t="s">
        <v>70</v>
      </c>
      <c r="S8" s="7"/>
      <c r="T8" s="25">
        <v>1</v>
      </c>
      <c r="U8" s="25">
        <v>1</v>
      </c>
      <c r="V8" s="6">
        <v>1</v>
      </c>
      <c r="W8" s="6" t="s">
        <v>19</v>
      </c>
      <c r="X8" s="7"/>
      <c r="Y8" s="7"/>
      <c r="Z8" s="7"/>
      <c r="AA8" s="6">
        <v>20</v>
      </c>
      <c r="AB8" s="8"/>
      <c r="AC8" s="8"/>
      <c r="AD8" s="6">
        <v>0</v>
      </c>
      <c r="AE8" s="6">
        <v>20</v>
      </c>
      <c r="AF8" s="8"/>
      <c r="AG8" s="8"/>
      <c r="AH8" s="7"/>
      <c r="AJ8" s="6" t="s">
        <v>54</v>
      </c>
      <c r="AK8" s="6" t="s">
        <v>41</v>
      </c>
    </row>
    <row r="9" spans="1:37" s="4" customFormat="1" ht="18" customHeight="1">
      <c r="B9" s="5"/>
      <c r="C9" s="6"/>
      <c r="D9" s="6"/>
      <c r="E9" s="6">
        <v>2</v>
      </c>
      <c r="F9" s="6"/>
      <c r="G9" s="6"/>
      <c r="H9" s="6"/>
      <c r="I9" s="6"/>
      <c r="J9" s="6"/>
      <c r="K9" s="51" t="str">
        <f t="shared" si="0"/>
        <v>002.---.---.---.---.---</v>
      </c>
      <c r="L9" s="50" t="str">
        <f t="shared" si="1"/>
        <v>2</v>
      </c>
      <c r="M9" s="7" t="s">
        <v>72</v>
      </c>
      <c r="N9" s="7"/>
      <c r="O9" s="7"/>
      <c r="P9" s="7"/>
      <c r="Q9" s="7"/>
      <c r="R9" s="7"/>
      <c r="S9" s="7"/>
      <c r="T9" s="25">
        <v>1</v>
      </c>
      <c r="U9" s="25">
        <v>1</v>
      </c>
      <c r="V9" s="6">
        <v>1</v>
      </c>
      <c r="W9" s="6" t="s">
        <v>19</v>
      </c>
      <c r="X9" s="7"/>
      <c r="Y9" s="7"/>
      <c r="Z9" s="7"/>
      <c r="AA9" s="6">
        <v>660</v>
      </c>
      <c r="AB9" s="8"/>
      <c r="AC9" s="8"/>
      <c r="AD9" s="6">
        <v>0</v>
      </c>
      <c r="AE9" s="6">
        <v>660</v>
      </c>
      <c r="AF9" s="8"/>
      <c r="AG9" s="8"/>
      <c r="AH9" s="7"/>
      <c r="AJ9" s="6"/>
      <c r="AK9" s="6" t="s">
        <v>42</v>
      </c>
    </row>
    <row r="10" spans="1:37" s="4" customFormat="1" ht="18" customHeight="1">
      <c r="B10" s="5"/>
      <c r="C10" s="6"/>
      <c r="D10" s="6"/>
      <c r="E10" s="6">
        <v>2</v>
      </c>
      <c r="F10" s="6"/>
      <c r="G10" s="6"/>
      <c r="H10" s="6"/>
      <c r="I10" s="6"/>
      <c r="J10" s="6">
        <v>1</v>
      </c>
      <c r="K10" s="51" t="str">
        <f t="shared" si="0"/>
        <v>002.---.---.---.---.001</v>
      </c>
      <c r="L10" s="50" t="str">
        <f t="shared" si="1"/>
        <v>2.T1</v>
      </c>
      <c r="M10" s="7"/>
      <c r="N10" s="7"/>
      <c r="O10" s="7"/>
      <c r="P10" s="7"/>
      <c r="Q10" s="7"/>
      <c r="R10" s="7" t="s">
        <v>56</v>
      </c>
      <c r="S10" s="7"/>
      <c r="T10" s="25">
        <v>1</v>
      </c>
      <c r="U10" s="25">
        <v>1</v>
      </c>
      <c r="V10" s="6">
        <v>1</v>
      </c>
      <c r="W10" s="6" t="s">
        <v>19</v>
      </c>
      <c r="X10" s="7"/>
      <c r="Y10" s="7"/>
      <c r="Z10" s="7"/>
      <c r="AA10" s="6">
        <v>10</v>
      </c>
      <c r="AB10" s="8"/>
      <c r="AC10" s="8"/>
      <c r="AD10" s="6">
        <v>0</v>
      </c>
      <c r="AE10" s="6">
        <v>10</v>
      </c>
      <c r="AF10" s="8"/>
      <c r="AG10" s="8"/>
      <c r="AH10" s="7"/>
      <c r="AJ10" s="6"/>
      <c r="AK10" s="6" t="s">
        <v>43</v>
      </c>
    </row>
    <row r="11" spans="1:37" s="4" customFormat="1" ht="18" customHeight="1">
      <c r="B11" s="5"/>
      <c r="C11" s="6"/>
      <c r="D11" s="6"/>
      <c r="E11" s="6">
        <v>2</v>
      </c>
      <c r="F11" s="6">
        <v>1</v>
      </c>
      <c r="G11" s="6"/>
      <c r="H11" s="6"/>
      <c r="I11" s="6"/>
      <c r="J11" s="6"/>
      <c r="K11" s="51" t="str">
        <f t="shared" si="0"/>
        <v>002.001.---.---.---.---</v>
      </c>
      <c r="L11" s="50" t="str">
        <f t="shared" si="1"/>
        <v>2.1</v>
      </c>
      <c r="M11" s="7"/>
      <c r="N11" s="7" t="s">
        <v>22</v>
      </c>
      <c r="O11" s="7"/>
      <c r="P11" s="7"/>
      <c r="Q11" s="7"/>
      <c r="R11" s="7"/>
      <c r="S11" s="7"/>
      <c r="T11" s="25">
        <v>1</v>
      </c>
      <c r="U11" s="25">
        <v>1</v>
      </c>
      <c r="V11" s="6">
        <v>1</v>
      </c>
      <c r="W11" s="6" t="s">
        <v>19</v>
      </c>
      <c r="X11" s="7"/>
      <c r="Y11" s="7"/>
      <c r="Z11" s="7"/>
      <c r="AA11" s="6">
        <v>650</v>
      </c>
      <c r="AB11" s="8"/>
      <c r="AC11" s="8"/>
      <c r="AD11" s="6">
        <v>0</v>
      </c>
      <c r="AE11" s="6">
        <v>650</v>
      </c>
      <c r="AF11" s="8"/>
      <c r="AG11" s="8"/>
      <c r="AH11" s="7"/>
      <c r="AJ11" s="6"/>
      <c r="AK11" s="6" t="s">
        <v>44</v>
      </c>
    </row>
    <row r="12" spans="1:37" s="4" customFormat="1" ht="18" customHeight="1">
      <c r="B12" s="5"/>
      <c r="C12" s="6"/>
      <c r="D12" s="6"/>
      <c r="E12" s="6">
        <v>2</v>
      </c>
      <c r="F12" s="6">
        <v>1</v>
      </c>
      <c r="G12" s="6"/>
      <c r="H12" s="6"/>
      <c r="I12" s="6"/>
      <c r="J12" s="6">
        <v>1</v>
      </c>
      <c r="K12" s="51" t="str">
        <f t="shared" si="0"/>
        <v>002.001.---.---.---.001</v>
      </c>
      <c r="L12" s="50" t="str">
        <f t="shared" si="1"/>
        <v>2.1.T1</v>
      </c>
      <c r="M12" s="7"/>
      <c r="N12" s="7"/>
      <c r="O12" s="7"/>
      <c r="P12" s="7"/>
      <c r="Q12" s="7"/>
      <c r="R12" s="7" t="s">
        <v>57</v>
      </c>
      <c r="S12" s="7"/>
      <c r="T12" s="25">
        <v>1</v>
      </c>
      <c r="U12" s="25">
        <v>1</v>
      </c>
      <c r="V12" s="6">
        <v>1</v>
      </c>
      <c r="W12" s="6" t="s">
        <v>19</v>
      </c>
      <c r="X12" s="7"/>
      <c r="Y12" s="7"/>
      <c r="Z12" s="7"/>
      <c r="AA12" s="6">
        <v>20</v>
      </c>
      <c r="AB12" s="8"/>
      <c r="AC12" s="8"/>
      <c r="AD12" s="6">
        <v>0</v>
      </c>
      <c r="AE12" s="6">
        <v>20</v>
      </c>
      <c r="AF12" s="8"/>
      <c r="AG12" s="8"/>
      <c r="AH12" s="7"/>
      <c r="AJ12" s="6"/>
      <c r="AK12" s="6" t="s">
        <v>45</v>
      </c>
    </row>
    <row r="13" spans="1:37" s="4" customFormat="1" ht="18" customHeight="1">
      <c r="B13" s="5"/>
      <c r="C13" s="6"/>
      <c r="D13" s="6"/>
      <c r="E13" s="6">
        <v>2</v>
      </c>
      <c r="F13" s="6">
        <v>1</v>
      </c>
      <c r="G13" s="6"/>
      <c r="H13" s="6"/>
      <c r="I13" s="6"/>
      <c r="J13" s="6">
        <v>2</v>
      </c>
      <c r="K13" s="51" t="str">
        <f t="shared" si="0"/>
        <v>002.001.---.---.---.002</v>
      </c>
      <c r="L13" s="50" t="str">
        <f t="shared" si="1"/>
        <v>2.1.T2</v>
      </c>
      <c r="M13" s="7"/>
      <c r="N13" s="7"/>
      <c r="O13" s="7"/>
      <c r="P13" s="7"/>
      <c r="Q13" s="7"/>
      <c r="R13" s="7" t="s">
        <v>58</v>
      </c>
      <c r="S13" s="7"/>
      <c r="T13" s="25">
        <v>1</v>
      </c>
      <c r="U13" s="25">
        <v>1</v>
      </c>
      <c r="V13" s="6">
        <v>1</v>
      </c>
      <c r="W13" s="6" t="s">
        <v>19</v>
      </c>
      <c r="X13" s="7"/>
      <c r="Y13" s="7"/>
      <c r="Z13" s="7"/>
      <c r="AA13" s="6">
        <v>20</v>
      </c>
      <c r="AB13" s="8"/>
      <c r="AC13" s="8"/>
      <c r="AD13" s="6">
        <v>0</v>
      </c>
      <c r="AE13" s="6">
        <v>20</v>
      </c>
      <c r="AF13" s="8"/>
      <c r="AG13" s="8"/>
      <c r="AH13" s="7"/>
      <c r="AJ13" s="6"/>
      <c r="AK13" s="6" t="s">
        <v>46</v>
      </c>
    </row>
    <row r="14" spans="1:37" s="4" customFormat="1" ht="18" customHeight="1">
      <c r="B14" s="5"/>
      <c r="C14" s="6"/>
      <c r="D14" s="6"/>
      <c r="E14" s="6">
        <v>2</v>
      </c>
      <c r="F14" s="6">
        <v>1</v>
      </c>
      <c r="G14" s="6">
        <v>1</v>
      </c>
      <c r="H14" s="6"/>
      <c r="I14" s="6"/>
      <c r="J14" s="6"/>
      <c r="K14" s="51" t="str">
        <f t="shared" si="0"/>
        <v>002.001.001.---.---.---</v>
      </c>
      <c r="L14" s="50" t="str">
        <f t="shared" si="1"/>
        <v>2.1.1</v>
      </c>
      <c r="M14" s="7"/>
      <c r="N14" s="7"/>
      <c r="O14" s="7" t="s">
        <v>23</v>
      </c>
      <c r="P14" s="7"/>
      <c r="Q14" s="7"/>
      <c r="R14" s="7"/>
      <c r="S14" s="7"/>
      <c r="T14" s="25">
        <v>1</v>
      </c>
      <c r="U14" s="25">
        <v>1</v>
      </c>
      <c r="V14" s="6">
        <v>1</v>
      </c>
      <c r="W14" s="6" t="s">
        <v>19</v>
      </c>
      <c r="X14" s="7"/>
      <c r="Y14" s="7"/>
      <c r="Z14" s="7"/>
      <c r="AA14" s="6">
        <v>610</v>
      </c>
      <c r="AB14" s="8"/>
      <c r="AC14" s="8"/>
      <c r="AD14" s="6">
        <v>0</v>
      </c>
      <c r="AE14" s="6">
        <v>610</v>
      </c>
      <c r="AF14" s="8"/>
      <c r="AG14" s="8"/>
      <c r="AH14" s="7"/>
      <c r="AJ14" s="6"/>
      <c r="AK14" s="6" t="s">
        <v>47</v>
      </c>
    </row>
    <row r="15" spans="1:37" s="4" customFormat="1" ht="18" customHeight="1">
      <c r="B15" s="5"/>
      <c r="C15" s="6"/>
      <c r="D15" s="6"/>
      <c r="E15" s="6">
        <v>2</v>
      </c>
      <c r="F15" s="6">
        <v>1</v>
      </c>
      <c r="G15" s="6">
        <v>1</v>
      </c>
      <c r="H15" s="6"/>
      <c r="I15" s="6"/>
      <c r="J15" s="6">
        <v>1</v>
      </c>
      <c r="K15" s="51" t="str">
        <f t="shared" si="0"/>
        <v>002.001.001.---.---.001</v>
      </c>
      <c r="L15" s="50" t="str">
        <f t="shared" si="1"/>
        <v>2.1.1.T1</v>
      </c>
      <c r="M15" s="7"/>
      <c r="N15" s="7"/>
      <c r="O15" s="7"/>
      <c r="P15" s="7"/>
      <c r="Q15" s="7"/>
      <c r="R15" s="7" t="s">
        <v>59</v>
      </c>
      <c r="S15" s="7"/>
      <c r="T15" s="25">
        <v>1</v>
      </c>
      <c r="U15" s="25">
        <v>1</v>
      </c>
      <c r="V15" s="6">
        <v>1</v>
      </c>
      <c r="W15" s="6" t="s">
        <v>19</v>
      </c>
      <c r="X15" s="7"/>
      <c r="Y15" s="7"/>
      <c r="Z15" s="7"/>
      <c r="AA15" s="6">
        <v>30</v>
      </c>
      <c r="AB15" s="8"/>
      <c r="AC15" s="8"/>
      <c r="AD15" s="6">
        <v>0</v>
      </c>
      <c r="AE15" s="6">
        <v>30</v>
      </c>
      <c r="AF15" s="8"/>
      <c r="AG15" s="8"/>
      <c r="AH15" s="7"/>
      <c r="AJ15" s="6"/>
      <c r="AK15" s="6"/>
    </row>
    <row r="16" spans="1:37" s="4" customFormat="1" ht="18" customHeight="1">
      <c r="B16" s="5"/>
      <c r="C16" s="6"/>
      <c r="D16" s="6"/>
      <c r="E16" s="6">
        <v>2</v>
      </c>
      <c r="F16" s="6">
        <v>1</v>
      </c>
      <c r="G16" s="6">
        <v>1</v>
      </c>
      <c r="H16" s="6"/>
      <c r="I16" s="6"/>
      <c r="J16" s="6">
        <v>2</v>
      </c>
      <c r="K16" s="51" t="str">
        <f t="shared" si="0"/>
        <v>002.001.001.---.---.002</v>
      </c>
      <c r="L16" s="50" t="str">
        <f t="shared" si="1"/>
        <v>2.1.1.T2</v>
      </c>
      <c r="M16" s="7"/>
      <c r="N16" s="7"/>
      <c r="O16" s="7"/>
      <c r="P16" s="7"/>
      <c r="Q16" s="7"/>
      <c r="R16" s="7" t="s">
        <v>60</v>
      </c>
      <c r="S16" s="7"/>
      <c r="T16" s="25">
        <v>1</v>
      </c>
      <c r="U16" s="25">
        <v>1</v>
      </c>
      <c r="V16" s="6">
        <v>1</v>
      </c>
      <c r="W16" s="6" t="s">
        <v>19</v>
      </c>
      <c r="X16" s="7"/>
      <c r="Y16" s="7"/>
      <c r="Z16" s="7"/>
      <c r="AA16" s="6">
        <v>30</v>
      </c>
      <c r="AB16" s="8"/>
      <c r="AC16" s="8"/>
      <c r="AD16" s="6">
        <v>0</v>
      </c>
      <c r="AE16" s="6">
        <v>30</v>
      </c>
      <c r="AF16" s="8"/>
      <c r="AG16" s="8"/>
      <c r="AH16" s="7"/>
      <c r="AJ16" s="6"/>
      <c r="AK16" s="6"/>
    </row>
    <row r="17" spans="2:37" s="4" customFormat="1" ht="18" customHeight="1">
      <c r="B17" s="5"/>
      <c r="C17" s="6"/>
      <c r="D17" s="6"/>
      <c r="E17" s="6">
        <v>2</v>
      </c>
      <c r="F17" s="6">
        <v>1</v>
      </c>
      <c r="G17" s="6">
        <v>1</v>
      </c>
      <c r="H17" s="6"/>
      <c r="I17" s="6"/>
      <c r="J17" s="6">
        <v>3</v>
      </c>
      <c r="K17" s="51" t="str">
        <f t="shared" si="0"/>
        <v>002.001.001.---.---.003</v>
      </c>
      <c r="L17" s="50" t="str">
        <f t="shared" si="1"/>
        <v>2.1.1.T3</v>
      </c>
      <c r="M17" s="7"/>
      <c r="N17" s="7"/>
      <c r="O17" s="7"/>
      <c r="P17" s="7"/>
      <c r="Q17" s="7"/>
      <c r="R17" s="7" t="s">
        <v>61</v>
      </c>
      <c r="S17" s="7"/>
      <c r="T17" s="25">
        <v>1</v>
      </c>
      <c r="U17" s="25">
        <v>1</v>
      </c>
      <c r="V17" s="6">
        <v>1</v>
      </c>
      <c r="W17" s="6" t="s">
        <v>19</v>
      </c>
      <c r="X17" s="7"/>
      <c r="Y17" s="7"/>
      <c r="Z17" s="7"/>
      <c r="AA17" s="6">
        <v>30</v>
      </c>
      <c r="AB17" s="8"/>
      <c r="AC17" s="8"/>
      <c r="AD17" s="6">
        <v>0</v>
      </c>
      <c r="AE17" s="6">
        <v>30</v>
      </c>
      <c r="AF17" s="8"/>
      <c r="AG17" s="8"/>
      <c r="AH17" s="7"/>
      <c r="AJ17" s="6"/>
      <c r="AK17" s="6"/>
    </row>
    <row r="18" spans="2:37" s="4" customFormat="1" ht="18" customHeight="1">
      <c r="B18" s="5"/>
      <c r="C18" s="6"/>
      <c r="D18" s="6"/>
      <c r="E18" s="6">
        <v>2</v>
      </c>
      <c r="F18" s="6">
        <v>1</v>
      </c>
      <c r="G18" s="6">
        <v>1</v>
      </c>
      <c r="H18" s="6">
        <v>1</v>
      </c>
      <c r="I18" s="6"/>
      <c r="J18" s="6"/>
      <c r="K18" s="51" t="str">
        <f t="shared" si="0"/>
        <v>002.001.001.001.---.---</v>
      </c>
      <c r="L18" s="50" t="str">
        <f t="shared" si="1"/>
        <v>2.1.1.1</v>
      </c>
      <c r="M18" s="7"/>
      <c r="N18" s="7"/>
      <c r="O18" s="7"/>
      <c r="P18" s="7" t="s">
        <v>24</v>
      </c>
      <c r="Q18" s="7"/>
      <c r="R18" s="7"/>
      <c r="S18" s="7"/>
      <c r="T18" s="25">
        <v>1</v>
      </c>
      <c r="U18" s="25">
        <v>1</v>
      </c>
      <c r="V18" s="6">
        <v>1</v>
      </c>
      <c r="W18" s="6" t="s">
        <v>19</v>
      </c>
      <c r="X18" s="7"/>
      <c r="Y18" s="7"/>
      <c r="Z18" s="7"/>
      <c r="AA18" s="6">
        <v>10</v>
      </c>
      <c r="AB18" s="8"/>
      <c r="AC18" s="8"/>
      <c r="AD18" s="6">
        <v>0</v>
      </c>
      <c r="AE18" s="6">
        <v>10</v>
      </c>
      <c r="AF18" s="8"/>
      <c r="AG18" s="8"/>
      <c r="AH18" s="7"/>
      <c r="AJ18" s="6"/>
      <c r="AK18" s="6"/>
    </row>
    <row r="19" spans="2:37" s="4" customFormat="1" ht="18" customHeight="1">
      <c r="B19" s="5"/>
      <c r="C19" s="6"/>
      <c r="D19" s="6"/>
      <c r="E19" s="6">
        <v>2</v>
      </c>
      <c r="F19" s="6">
        <v>1</v>
      </c>
      <c r="G19" s="6">
        <v>1</v>
      </c>
      <c r="H19" s="6">
        <v>1</v>
      </c>
      <c r="I19" s="6"/>
      <c r="J19" s="6">
        <v>1</v>
      </c>
      <c r="K19" s="51" t="str">
        <f t="shared" si="0"/>
        <v>002.001.001.001.---.001</v>
      </c>
      <c r="L19" s="50" t="str">
        <f t="shared" si="1"/>
        <v>2.1.1.1.T1</v>
      </c>
      <c r="M19" s="7"/>
      <c r="N19" s="7"/>
      <c r="O19" s="7"/>
      <c r="P19" s="7"/>
      <c r="Q19" s="7"/>
      <c r="R19" s="7" t="s">
        <v>63</v>
      </c>
      <c r="S19" s="7"/>
      <c r="T19" s="25">
        <v>1</v>
      </c>
      <c r="U19" s="25">
        <v>1</v>
      </c>
      <c r="V19" s="6">
        <v>1</v>
      </c>
      <c r="W19" s="6" t="s">
        <v>19</v>
      </c>
      <c r="X19" s="7"/>
      <c r="Y19" s="7"/>
      <c r="Z19" s="7"/>
      <c r="AA19" s="6">
        <v>10</v>
      </c>
      <c r="AB19" s="8"/>
      <c r="AC19" s="8"/>
      <c r="AD19" s="6">
        <v>0</v>
      </c>
      <c r="AE19" s="6">
        <v>10</v>
      </c>
      <c r="AF19" s="8"/>
      <c r="AG19" s="8"/>
      <c r="AH19" s="7"/>
      <c r="AJ19" s="6"/>
      <c r="AK19" s="6"/>
    </row>
    <row r="20" spans="2:37" s="4" customFormat="1" ht="18" customHeight="1">
      <c r="B20" s="5"/>
      <c r="C20" s="6"/>
      <c r="D20" s="6"/>
      <c r="E20" s="6">
        <v>2</v>
      </c>
      <c r="F20" s="6">
        <v>1</v>
      </c>
      <c r="G20" s="6">
        <v>1</v>
      </c>
      <c r="H20" s="6">
        <v>2</v>
      </c>
      <c r="I20" s="6"/>
      <c r="J20" s="6"/>
      <c r="K20" s="51" t="str">
        <f t="shared" si="0"/>
        <v>002.001.001.002.---.---</v>
      </c>
      <c r="L20" s="50" t="str">
        <f t="shared" si="1"/>
        <v>2.1.1.2</v>
      </c>
      <c r="M20" s="7"/>
      <c r="N20" s="7"/>
      <c r="O20" s="7"/>
      <c r="P20" s="7" t="s">
        <v>24</v>
      </c>
      <c r="Q20" s="7"/>
      <c r="R20" s="7"/>
      <c r="S20" s="7"/>
      <c r="T20" s="25">
        <v>1</v>
      </c>
      <c r="U20" s="25">
        <v>1</v>
      </c>
      <c r="V20" s="6">
        <v>1</v>
      </c>
      <c r="W20" s="6" t="s">
        <v>19</v>
      </c>
      <c r="X20" s="7"/>
      <c r="Y20" s="7"/>
      <c r="Z20" s="7"/>
      <c r="AA20" s="6">
        <v>510</v>
      </c>
      <c r="AB20" s="8"/>
      <c r="AC20" s="8"/>
      <c r="AD20" s="6">
        <v>0</v>
      </c>
      <c r="AE20" s="6">
        <v>510</v>
      </c>
      <c r="AF20" s="8"/>
      <c r="AG20" s="8"/>
      <c r="AH20" s="7"/>
      <c r="AJ20" s="6"/>
      <c r="AK20" s="6"/>
    </row>
    <row r="21" spans="2:37" s="4" customFormat="1" ht="18" customHeight="1">
      <c r="B21" s="5"/>
      <c r="C21" s="6"/>
      <c r="D21" s="6"/>
      <c r="E21" s="6">
        <v>2</v>
      </c>
      <c r="F21" s="6">
        <v>1</v>
      </c>
      <c r="G21" s="6">
        <v>1</v>
      </c>
      <c r="H21" s="6">
        <v>2</v>
      </c>
      <c r="I21" s="6"/>
      <c r="J21" s="6">
        <v>1</v>
      </c>
      <c r="K21" s="51" t="str">
        <f t="shared" si="0"/>
        <v>002.001.001.002.---.001</v>
      </c>
      <c r="L21" s="50" t="str">
        <f t="shared" si="1"/>
        <v>2.1.1.2.T1</v>
      </c>
      <c r="M21" s="7"/>
      <c r="N21" s="7"/>
      <c r="O21" s="7"/>
      <c r="P21" s="7"/>
      <c r="Q21" s="7"/>
      <c r="R21" s="7" t="s">
        <v>62</v>
      </c>
      <c r="S21" s="7"/>
      <c r="T21" s="25">
        <v>1</v>
      </c>
      <c r="U21" s="25">
        <v>1</v>
      </c>
      <c r="V21" s="6">
        <v>1</v>
      </c>
      <c r="W21" s="6" t="s">
        <v>19</v>
      </c>
      <c r="X21" s="7"/>
      <c r="Y21" s="7"/>
      <c r="Z21" s="7"/>
      <c r="AA21" s="6">
        <v>40</v>
      </c>
      <c r="AB21" s="8"/>
      <c r="AC21" s="8"/>
      <c r="AD21" s="6">
        <v>0</v>
      </c>
      <c r="AE21" s="6">
        <v>40</v>
      </c>
      <c r="AF21" s="8"/>
      <c r="AG21" s="8"/>
      <c r="AH21" s="7"/>
      <c r="AJ21" s="6"/>
      <c r="AK21" s="6"/>
    </row>
    <row r="22" spans="2:37" s="4" customFormat="1" ht="18" customHeight="1">
      <c r="B22" s="5"/>
      <c r="C22" s="6"/>
      <c r="D22" s="6"/>
      <c r="E22" s="6">
        <v>2</v>
      </c>
      <c r="F22" s="6">
        <v>1</v>
      </c>
      <c r="G22" s="6">
        <v>1</v>
      </c>
      <c r="H22" s="6">
        <v>2</v>
      </c>
      <c r="I22" s="6"/>
      <c r="J22" s="6">
        <v>2</v>
      </c>
      <c r="K22" s="51" t="str">
        <f t="shared" si="0"/>
        <v>002.001.001.002.---.002</v>
      </c>
      <c r="L22" s="50" t="str">
        <f t="shared" si="1"/>
        <v>2.1.1.2.T2</v>
      </c>
      <c r="M22" s="7"/>
      <c r="N22" s="7"/>
      <c r="O22" s="7"/>
      <c r="P22" s="7"/>
      <c r="Q22" s="7"/>
      <c r="R22" s="7" t="s">
        <v>63</v>
      </c>
      <c r="S22" s="7"/>
      <c r="T22" s="25">
        <v>1</v>
      </c>
      <c r="U22" s="25">
        <v>1</v>
      </c>
      <c r="V22" s="6">
        <v>1</v>
      </c>
      <c r="W22" s="6" t="s">
        <v>19</v>
      </c>
      <c r="X22" s="7"/>
      <c r="Y22" s="7"/>
      <c r="Z22" s="7"/>
      <c r="AA22" s="6">
        <v>40</v>
      </c>
      <c r="AB22" s="8"/>
      <c r="AC22" s="8"/>
      <c r="AD22" s="6">
        <v>0</v>
      </c>
      <c r="AE22" s="6">
        <v>40</v>
      </c>
      <c r="AF22" s="8"/>
      <c r="AG22" s="8"/>
      <c r="AH22" s="7"/>
      <c r="AJ22" s="6"/>
      <c r="AK22" s="6"/>
    </row>
    <row r="23" spans="2:37" s="4" customFormat="1" ht="18" customHeight="1">
      <c r="B23" s="5"/>
      <c r="C23" s="6"/>
      <c r="D23" s="6"/>
      <c r="E23" s="6">
        <v>2</v>
      </c>
      <c r="F23" s="6">
        <v>1</v>
      </c>
      <c r="G23" s="6">
        <v>1</v>
      </c>
      <c r="H23" s="6">
        <v>2</v>
      </c>
      <c r="I23" s="6"/>
      <c r="J23" s="6">
        <v>3</v>
      </c>
      <c r="K23" s="51" t="str">
        <f t="shared" si="0"/>
        <v>002.001.001.002.---.003</v>
      </c>
      <c r="L23" s="50" t="str">
        <f t="shared" si="1"/>
        <v>2.1.1.2.T3</v>
      </c>
      <c r="M23" s="7"/>
      <c r="N23" s="7"/>
      <c r="O23" s="7"/>
      <c r="P23" s="7"/>
      <c r="Q23" s="7"/>
      <c r="R23" s="7" t="s">
        <v>64</v>
      </c>
      <c r="S23" s="7"/>
      <c r="T23" s="25">
        <v>1</v>
      </c>
      <c r="U23" s="25">
        <v>1</v>
      </c>
      <c r="V23" s="6">
        <v>1</v>
      </c>
      <c r="W23" s="6" t="s">
        <v>19</v>
      </c>
      <c r="X23" s="7"/>
      <c r="Y23" s="7"/>
      <c r="Z23" s="7"/>
      <c r="AA23" s="6">
        <v>40</v>
      </c>
      <c r="AB23" s="8"/>
      <c r="AC23" s="8"/>
      <c r="AD23" s="6">
        <v>0</v>
      </c>
      <c r="AE23" s="6">
        <v>40</v>
      </c>
      <c r="AF23" s="8"/>
      <c r="AG23" s="8"/>
      <c r="AH23" s="7"/>
      <c r="AJ23" s="6"/>
      <c r="AK23" s="6"/>
    </row>
    <row r="24" spans="2:37" s="4" customFormat="1" ht="18" customHeight="1">
      <c r="B24" s="5"/>
      <c r="C24" s="6"/>
      <c r="D24" s="6"/>
      <c r="E24" s="6">
        <v>2</v>
      </c>
      <c r="F24" s="6">
        <v>1</v>
      </c>
      <c r="G24" s="6">
        <v>1</v>
      </c>
      <c r="H24" s="6">
        <v>2</v>
      </c>
      <c r="I24" s="6"/>
      <c r="J24" s="6">
        <v>4</v>
      </c>
      <c r="K24" s="51" t="str">
        <f t="shared" si="0"/>
        <v>002.001.001.002.---.004</v>
      </c>
      <c r="L24" s="50" t="str">
        <f t="shared" si="1"/>
        <v>2.1.1.2.T4</v>
      </c>
      <c r="M24" s="7"/>
      <c r="N24" s="7"/>
      <c r="O24" s="7"/>
      <c r="P24" s="7"/>
      <c r="Q24" s="7"/>
      <c r="R24" s="7" t="s">
        <v>55</v>
      </c>
      <c r="S24" s="7"/>
      <c r="T24" s="25">
        <v>1</v>
      </c>
      <c r="U24" s="25">
        <v>1</v>
      </c>
      <c r="V24" s="6">
        <v>1</v>
      </c>
      <c r="W24" s="6" t="s">
        <v>19</v>
      </c>
      <c r="X24" s="7"/>
      <c r="Y24" s="7"/>
      <c r="Z24" s="7"/>
      <c r="AA24" s="6">
        <v>40</v>
      </c>
      <c r="AB24" s="8"/>
      <c r="AC24" s="8"/>
      <c r="AD24" s="6">
        <v>0</v>
      </c>
      <c r="AE24" s="6">
        <v>40</v>
      </c>
      <c r="AF24" s="8"/>
      <c r="AG24" s="8"/>
      <c r="AH24" s="7"/>
      <c r="AJ24" s="6"/>
      <c r="AK24" s="6"/>
    </row>
    <row r="25" spans="2:37" s="4" customFormat="1" ht="18" customHeight="1">
      <c r="B25" s="5"/>
      <c r="C25" s="6"/>
      <c r="D25" s="6"/>
      <c r="E25" s="6">
        <v>2</v>
      </c>
      <c r="F25" s="6">
        <v>1</v>
      </c>
      <c r="G25" s="6">
        <v>1</v>
      </c>
      <c r="H25" s="6">
        <v>2</v>
      </c>
      <c r="I25" s="6">
        <v>1</v>
      </c>
      <c r="J25" s="6"/>
      <c r="K25" s="51" t="str">
        <f t="shared" si="0"/>
        <v>002.001.001.002.001.---</v>
      </c>
      <c r="L25" s="50" t="str">
        <f t="shared" si="1"/>
        <v>2.1.1.2.1</v>
      </c>
      <c r="M25" s="7"/>
      <c r="N25" s="7"/>
      <c r="O25" s="7"/>
      <c r="P25" s="7"/>
      <c r="Q25" s="7" t="s">
        <v>37</v>
      </c>
      <c r="R25" s="7"/>
      <c r="S25" s="7"/>
      <c r="T25" s="25">
        <v>1</v>
      </c>
      <c r="U25" s="25">
        <v>1</v>
      </c>
      <c r="V25" s="6">
        <v>1</v>
      </c>
      <c r="W25" s="6" t="s">
        <v>19</v>
      </c>
      <c r="X25" s="7"/>
      <c r="Y25" s="7"/>
      <c r="Z25" s="7"/>
      <c r="AA25" s="6">
        <v>250</v>
      </c>
      <c r="AB25" s="8"/>
      <c r="AC25" s="8"/>
      <c r="AD25" s="6">
        <v>0</v>
      </c>
      <c r="AE25" s="6">
        <v>250</v>
      </c>
      <c r="AF25" s="8"/>
      <c r="AG25" s="8"/>
      <c r="AH25" s="7"/>
      <c r="AJ25" s="6"/>
      <c r="AK25" s="6"/>
    </row>
    <row r="26" spans="2:37" s="4" customFormat="1" ht="18" customHeight="1">
      <c r="B26" s="5"/>
      <c r="C26" s="6"/>
      <c r="D26" s="6"/>
      <c r="E26" s="6">
        <v>2</v>
      </c>
      <c r="F26" s="6">
        <v>1</v>
      </c>
      <c r="G26" s="6">
        <v>1</v>
      </c>
      <c r="H26" s="6">
        <v>2</v>
      </c>
      <c r="I26" s="6">
        <v>1</v>
      </c>
      <c r="J26" s="6">
        <v>1</v>
      </c>
      <c r="K26" s="51" t="str">
        <f t="shared" si="0"/>
        <v>002.001.001.002.001.001</v>
      </c>
      <c r="L26" s="50" t="str">
        <f t="shared" si="1"/>
        <v>2.1.1.2.1.T1</v>
      </c>
      <c r="M26" s="7"/>
      <c r="N26" s="7"/>
      <c r="O26" s="7"/>
      <c r="P26" s="7"/>
      <c r="Q26" s="7"/>
      <c r="R26" s="7" t="s">
        <v>65</v>
      </c>
      <c r="S26" s="7"/>
      <c r="T26" s="25">
        <v>1</v>
      </c>
      <c r="U26" s="25">
        <v>1</v>
      </c>
      <c r="V26" s="6">
        <v>1</v>
      </c>
      <c r="W26" s="6" t="s">
        <v>19</v>
      </c>
      <c r="X26" s="7"/>
      <c r="Y26" s="7"/>
      <c r="Z26" s="7"/>
      <c r="AA26" s="6">
        <v>50</v>
      </c>
      <c r="AB26" s="8"/>
      <c r="AC26" s="8"/>
      <c r="AD26" s="6">
        <v>0</v>
      </c>
      <c r="AE26" s="6">
        <v>50</v>
      </c>
      <c r="AF26" s="8"/>
      <c r="AG26" s="8"/>
      <c r="AH26" s="7"/>
      <c r="AJ26" s="6"/>
      <c r="AK26" s="6"/>
    </row>
    <row r="27" spans="2:37" s="4" customFormat="1" ht="18" customHeight="1">
      <c r="B27" s="5"/>
      <c r="C27" s="6"/>
      <c r="D27" s="6"/>
      <c r="E27" s="6">
        <v>2</v>
      </c>
      <c r="F27" s="6">
        <v>1</v>
      </c>
      <c r="G27" s="6">
        <v>1</v>
      </c>
      <c r="H27" s="6">
        <v>2</v>
      </c>
      <c r="I27" s="6">
        <v>1</v>
      </c>
      <c r="J27" s="6">
        <v>2</v>
      </c>
      <c r="K27" s="51" t="str">
        <f t="shared" si="0"/>
        <v>002.001.001.002.001.002</v>
      </c>
      <c r="L27" s="50" t="str">
        <f t="shared" si="1"/>
        <v>2.1.1.2.1.T2</v>
      </c>
      <c r="M27" s="7"/>
      <c r="N27" s="7"/>
      <c r="O27" s="7"/>
      <c r="P27" s="7"/>
      <c r="Q27" s="7"/>
      <c r="R27" s="7" t="s">
        <v>66</v>
      </c>
      <c r="S27" s="7"/>
      <c r="T27" s="25">
        <v>1</v>
      </c>
      <c r="U27" s="25">
        <v>1</v>
      </c>
      <c r="V27" s="6">
        <v>1</v>
      </c>
      <c r="W27" s="6" t="s">
        <v>19</v>
      </c>
      <c r="X27" s="7"/>
      <c r="Y27" s="7"/>
      <c r="Z27" s="7"/>
      <c r="AA27" s="6">
        <v>50</v>
      </c>
      <c r="AB27" s="8"/>
      <c r="AC27" s="8"/>
      <c r="AD27" s="6">
        <v>0</v>
      </c>
      <c r="AE27" s="6">
        <v>50</v>
      </c>
      <c r="AF27" s="8"/>
      <c r="AG27" s="8"/>
      <c r="AH27" s="7"/>
      <c r="AJ27" s="6"/>
      <c r="AK27" s="6"/>
    </row>
    <row r="28" spans="2:37" s="4" customFormat="1" ht="18" customHeight="1">
      <c r="B28" s="5"/>
      <c r="C28" s="6"/>
      <c r="D28" s="6"/>
      <c r="E28" s="6">
        <v>2</v>
      </c>
      <c r="F28" s="6">
        <v>1</v>
      </c>
      <c r="G28" s="6">
        <v>1</v>
      </c>
      <c r="H28" s="6">
        <v>2</v>
      </c>
      <c r="I28" s="6">
        <v>1</v>
      </c>
      <c r="J28" s="6">
        <v>3</v>
      </c>
      <c r="K28" s="51" t="str">
        <f t="shared" si="0"/>
        <v>002.001.001.002.001.003</v>
      </c>
      <c r="L28" s="50" t="str">
        <f t="shared" si="1"/>
        <v>2.1.1.2.1.T3</v>
      </c>
      <c r="M28" s="7"/>
      <c r="N28" s="7"/>
      <c r="O28" s="7"/>
      <c r="P28" s="7"/>
      <c r="Q28" s="7"/>
      <c r="R28" s="7" t="s">
        <v>67</v>
      </c>
      <c r="S28" s="7"/>
      <c r="T28" s="25">
        <v>1</v>
      </c>
      <c r="U28" s="25">
        <v>1</v>
      </c>
      <c r="V28" s="6">
        <v>1</v>
      </c>
      <c r="W28" s="6" t="s">
        <v>19</v>
      </c>
      <c r="X28" s="7"/>
      <c r="Y28" s="7"/>
      <c r="Z28" s="7"/>
      <c r="AA28" s="6">
        <v>50</v>
      </c>
      <c r="AB28" s="8"/>
      <c r="AC28" s="8"/>
      <c r="AD28" s="6">
        <v>0</v>
      </c>
      <c r="AE28" s="6">
        <v>50</v>
      </c>
      <c r="AF28" s="8"/>
      <c r="AG28" s="8"/>
      <c r="AH28" s="7"/>
      <c r="AJ28" s="6"/>
      <c r="AK28" s="6"/>
    </row>
    <row r="29" spans="2:37" s="4" customFormat="1" ht="18" customHeight="1">
      <c r="B29" s="5"/>
      <c r="C29" s="6"/>
      <c r="D29" s="6"/>
      <c r="E29" s="6">
        <v>2</v>
      </c>
      <c r="F29" s="6">
        <v>1</v>
      </c>
      <c r="G29" s="6">
        <v>1</v>
      </c>
      <c r="H29" s="6">
        <v>2</v>
      </c>
      <c r="I29" s="6">
        <v>1</v>
      </c>
      <c r="J29" s="6">
        <v>4</v>
      </c>
      <c r="K29" s="51" t="str">
        <f t="shared" si="0"/>
        <v>002.001.001.002.001.004</v>
      </c>
      <c r="L29" s="50" t="str">
        <f t="shared" si="1"/>
        <v>2.1.1.2.1.T4</v>
      </c>
      <c r="M29" s="7"/>
      <c r="N29" s="7"/>
      <c r="O29" s="7"/>
      <c r="P29" s="7"/>
      <c r="Q29" s="7"/>
      <c r="R29" s="7" t="s">
        <v>68</v>
      </c>
      <c r="S29" s="7"/>
      <c r="T29" s="25">
        <v>1</v>
      </c>
      <c r="U29" s="25">
        <v>1</v>
      </c>
      <c r="V29" s="6">
        <v>1</v>
      </c>
      <c r="W29" s="6" t="s">
        <v>19</v>
      </c>
      <c r="X29" s="7"/>
      <c r="Y29" s="7"/>
      <c r="Z29" s="7"/>
      <c r="AA29" s="6">
        <v>50</v>
      </c>
      <c r="AB29" s="8"/>
      <c r="AC29" s="8"/>
      <c r="AD29" s="6">
        <v>0</v>
      </c>
      <c r="AE29" s="6">
        <v>50</v>
      </c>
      <c r="AF29" s="8"/>
      <c r="AG29" s="8"/>
      <c r="AH29" s="7"/>
      <c r="AJ29" s="6"/>
      <c r="AK29" s="6"/>
    </row>
    <row r="30" spans="2:37" s="4" customFormat="1" ht="18" customHeight="1">
      <c r="B30" s="5"/>
      <c r="C30" s="6"/>
      <c r="D30" s="6"/>
      <c r="E30" s="6">
        <v>2</v>
      </c>
      <c r="F30" s="6">
        <v>1</v>
      </c>
      <c r="G30" s="6">
        <v>1</v>
      </c>
      <c r="H30" s="6">
        <v>2</v>
      </c>
      <c r="I30" s="6">
        <v>1</v>
      </c>
      <c r="J30" s="6">
        <v>5</v>
      </c>
      <c r="K30" s="51" t="str">
        <f t="shared" si="0"/>
        <v>002.001.001.002.001.005</v>
      </c>
      <c r="L30" s="50" t="str">
        <f t="shared" si="1"/>
        <v>2.1.1.2.1.T5</v>
      </c>
      <c r="M30" s="7"/>
      <c r="N30" s="7"/>
      <c r="O30" s="7"/>
      <c r="P30" s="7"/>
      <c r="Q30" s="7"/>
      <c r="R30" s="7" t="s">
        <v>69</v>
      </c>
      <c r="S30" s="7"/>
      <c r="T30" s="25">
        <v>1</v>
      </c>
      <c r="U30" s="25">
        <v>1</v>
      </c>
      <c r="V30" s="6">
        <v>1</v>
      </c>
      <c r="W30" s="6" t="s">
        <v>19</v>
      </c>
      <c r="X30" s="7"/>
      <c r="Y30" s="7"/>
      <c r="Z30" s="7"/>
      <c r="AA30" s="6">
        <v>50</v>
      </c>
      <c r="AB30" s="8"/>
      <c r="AC30" s="8"/>
      <c r="AD30" s="6">
        <v>0</v>
      </c>
      <c r="AE30" s="6">
        <v>50</v>
      </c>
      <c r="AF30" s="8"/>
      <c r="AG30" s="8"/>
      <c r="AH30" s="7"/>
      <c r="AJ30" s="6"/>
      <c r="AK30" s="6"/>
    </row>
    <row r="31" spans="2:37" s="4" customFormat="1" ht="18" customHeight="1">
      <c r="B31" s="5"/>
      <c r="C31" s="6"/>
      <c r="D31" s="6"/>
      <c r="E31" s="6">
        <v>2</v>
      </c>
      <c r="F31" s="6">
        <v>1</v>
      </c>
      <c r="G31" s="6">
        <v>1</v>
      </c>
      <c r="H31" s="6">
        <v>2</v>
      </c>
      <c r="I31" s="6">
        <v>2</v>
      </c>
      <c r="J31" s="6"/>
      <c r="K31" s="51" t="str">
        <f t="shared" si="0"/>
        <v>002.001.001.002.002.---</v>
      </c>
      <c r="L31" s="50" t="str">
        <f t="shared" si="1"/>
        <v>2.1.1.2.2</v>
      </c>
      <c r="M31" s="7"/>
      <c r="N31" s="7"/>
      <c r="O31" s="7"/>
      <c r="P31" s="7"/>
      <c r="Q31" s="7" t="s">
        <v>37</v>
      </c>
      <c r="R31" s="7"/>
      <c r="S31" s="7"/>
      <c r="T31" s="25">
        <v>1</v>
      </c>
      <c r="U31" s="25">
        <v>1</v>
      </c>
      <c r="V31" s="6">
        <v>1</v>
      </c>
      <c r="W31" s="6" t="s">
        <v>19</v>
      </c>
      <c r="X31" s="7"/>
      <c r="Y31" s="7"/>
      <c r="Z31" s="7"/>
      <c r="AA31" s="6">
        <v>100</v>
      </c>
      <c r="AB31" s="8"/>
      <c r="AC31" s="8"/>
      <c r="AD31" s="6">
        <v>0</v>
      </c>
      <c r="AE31" s="6">
        <v>100</v>
      </c>
      <c r="AF31" s="8"/>
      <c r="AG31" s="8"/>
      <c r="AH31" s="7"/>
      <c r="AJ31" s="6"/>
      <c r="AK31" s="6"/>
    </row>
    <row r="32" spans="2:37" s="4" customFormat="1" ht="18" customHeight="1">
      <c r="B32" s="5"/>
      <c r="C32" s="6"/>
      <c r="D32" s="6"/>
      <c r="E32" s="6">
        <v>2</v>
      </c>
      <c r="F32" s="6">
        <v>1</v>
      </c>
      <c r="G32" s="6">
        <v>1</v>
      </c>
      <c r="H32" s="6">
        <v>2</v>
      </c>
      <c r="I32" s="6">
        <v>2</v>
      </c>
      <c r="J32" s="6">
        <v>1</v>
      </c>
      <c r="K32" s="51" t="str">
        <f t="shared" si="0"/>
        <v>002.001.001.002.002.001</v>
      </c>
      <c r="L32" s="50" t="str">
        <f t="shared" si="1"/>
        <v>2.1.1.2.2.T1</v>
      </c>
      <c r="M32" s="7"/>
      <c r="N32" s="7"/>
      <c r="O32" s="7"/>
      <c r="P32" s="7"/>
      <c r="Q32" s="7"/>
      <c r="R32" s="7" t="s">
        <v>65</v>
      </c>
      <c r="S32" s="7"/>
      <c r="T32" s="25">
        <v>1</v>
      </c>
      <c r="U32" s="25">
        <v>1</v>
      </c>
      <c r="V32" s="6">
        <v>1</v>
      </c>
      <c r="W32" s="6" t="s">
        <v>19</v>
      </c>
      <c r="X32" s="7"/>
      <c r="Y32" s="7"/>
      <c r="Z32" s="7"/>
      <c r="AA32" s="6">
        <v>50</v>
      </c>
      <c r="AB32" s="8"/>
      <c r="AC32" s="8"/>
      <c r="AD32" s="6">
        <v>0</v>
      </c>
      <c r="AE32" s="6">
        <v>50</v>
      </c>
      <c r="AF32" s="8"/>
      <c r="AG32" s="8"/>
      <c r="AH32" s="7"/>
      <c r="AJ32" s="6"/>
      <c r="AK32" s="6"/>
    </row>
    <row r="33" spans="2:37" s="4" customFormat="1" ht="18" customHeight="1">
      <c r="B33" s="5"/>
      <c r="C33" s="6"/>
      <c r="D33" s="6"/>
      <c r="E33" s="6">
        <v>2</v>
      </c>
      <c r="F33" s="6">
        <v>1</v>
      </c>
      <c r="G33" s="6">
        <v>1</v>
      </c>
      <c r="H33" s="6">
        <v>2</v>
      </c>
      <c r="I33" s="6">
        <v>2</v>
      </c>
      <c r="J33" s="6">
        <v>2</v>
      </c>
      <c r="K33" s="51" t="str">
        <f t="shared" si="0"/>
        <v>002.001.001.002.002.002</v>
      </c>
      <c r="L33" s="50" t="str">
        <f t="shared" si="1"/>
        <v>2.1.1.2.2.T2</v>
      </c>
      <c r="M33" s="7"/>
      <c r="N33" s="7"/>
      <c r="O33" s="7"/>
      <c r="P33" s="7"/>
      <c r="Q33" s="7"/>
      <c r="R33" s="7" t="s">
        <v>66</v>
      </c>
      <c r="S33" s="7"/>
      <c r="T33" s="25">
        <v>1</v>
      </c>
      <c r="U33" s="25">
        <v>1</v>
      </c>
      <c r="V33" s="6">
        <v>1</v>
      </c>
      <c r="W33" s="6" t="s">
        <v>19</v>
      </c>
      <c r="X33" s="7"/>
      <c r="Y33" s="7"/>
      <c r="Z33" s="7"/>
      <c r="AA33" s="6">
        <v>50</v>
      </c>
      <c r="AB33" s="8"/>
      <c r="AC33" s="8"/>
      <c r="AD33" s="6">
        <v>0</v>
      </c>
      <c r="AE33" s="6">
        <v>50</v>
      </c>
      <c r="AF33" s="8"/>
      <c r="AG33" s="8"/>
      <c r="AH33" s="7"/>
      <c r="AJ33" s="6"/>
      <c r="AK33" s="6"/>
    </row>
    <row r="34" spans="2:37" s="4" customFormat="1" ht="18" customHeight="1">
      <c r="B34" s="5"/>
      <c r="C34" s="6"/>
      <c r="D34" s="6"/>
      <c r="E34" s="6">
        <v>3</v>
      </c>
      <c r="F34" s="6"/>
      <c r="G34" s="6"/>
      <c r="H34" s="6"/>
      <c r="I34" s="6"/>
      <c r="J34" s="6"/>
      <c r="K34" s="51" t="str">
        <f t="shared" si="0"/>
        <v>003.---.---.---.---.---</v>
      </c>
      <c r="L34" s="50" t="str">
        <f t="shared" si="1"/>
        <v>3</v>
      </c>
      <c r="M34" s="7" t="s">
        <v>73</v>
      </c>
      <c r="N34" s="7"/>
      <c r="O34" s="7"/>
      <c r="P34" s="7"/>
      <c r="Q34" s="7"/>
      <c r="R34" s="7"/>
      <c r="S34" s="7"/>
      <c r="T34" s="25">
        <v>1</v>
      </c>
      <c r="U34" s="25">
        <v>1</v>
      </c>
      <c r="V34" s="6">
        <v>1</v>
      </c>
      <c r="W34" s="6" t="s">
        <v>19</v>
      </c>
      <c r="X34" s="7"/>
      <c r="Y34" s="7"/>
      <c r="Z34" s="7"/>
      <c r="AA34" s="6">
        <v>90</v>
      </c>
      <c r="AB34" s="8"/>
      <c r="AC34" s="8"/>
      <c r="AD34" s="6">
        <v>0</v>
      </c>
      <c r="AE34" s="6">
        <v>90</v>
      </c>
      <c r="AF34" s="8"/>
      <c r="AG34" s="8"/>
      <c r="AH34" s="7"/>
      <c r="AJ34" s="6"/>
      <c r="AK34" s="6"/>
    </row>
    <row r="35" spans="2:37" s="4" customFormat="1" ht="18" customHeight="1">
      <c r="B35" s="5"/>
      <c r="C35" s="6"/>
      <c r="D35" s="6"/>
      <c r="E35" s="6">
        <v>3</v>
      </c>
      <c r="F35" s="6">
        <v>1</v>
      </c>
      <c r="G35" s="6"/>
      <c r="H35" s="6"/>
      <c r="I35" s="6"/>
      <c r="J35" s="6"/>
      <c r="K35" s="51" t="str">
        <f t="shared" si="0"/>
        <v>003.001.---.---.---.---</v>
      </c>
      <c r="L35" s="50" t="str">
        <f t="shared" si="1"/>
        <v>3.1</v>
      </c>
      <c r="M35" s="7"/>
      <c r="N35" s="7" t="s">
        <v>22</v>
      </c>
      <c r="O35" s="7"/>
      <c r="P35" s="7"/>
      <c r="Q35" s="7"/>
      <c r="R35" s="7"/>
      <c r="S35" s="7"/>
      <c r="T35" s="25">
        <v>1</v>
      </c>
      <c r="U35" s="25">
        <v>1</v>
      </c>
      <c r="V35" s="6">
        <v>2</v>
      </c>
      <c r="W35" s="6" t="s">
        <v>19</v>
      </c>
      <c r="X35" s="7"/>
      <c r="Y35" s="7"/>
      <c r="Z35" s="7"/>
      <c r="AA35" s="6">
        <v>40</v>
      </c>
      <c r="AB35" s="8"/>
      <c r="AC35" s="8"/>
      <c r="AD35" s="6">
        <v>0</v>
      </c>
      <c r="AE35" s="6">
        <v>40</v>
      </c>
      <c r="AF35" s="8"/>
      <c r="AG35" s="8"/>
      <c r="AH35" s="7"/>
      <c r="AJ35" s="6"/>
      <c r="AK35" s="7"/>
    </row>
    <row r="36" spans="2:37" s="4" customFormat="1" ht="18" customHeight="1">
      <c r="B36" s="5"/>
      <c r="C36" s="6"/>
      <c r="D36" s="6"/>
      <c r="E36" s="6">
        <v>3</v>
      </c>
      <c r="F36" s="6">
        <v>1</v>
      </c>
      <c r="G36" s="6">
        <v>3</v>
      </c>
      <c r="H36" s="6"/>
      <c r="I36" s="6"/>
      <c r="J36" s="6"/>
      <c r="K36" s="51" t="str">
        <f t="shared" si="0"/>
        <v>003.001.003.---.---.---</v>
      </c>
      <c r="L36" s="50" t="str">
        <f t="shared" si="1"/>
        <v>3.1.3</v>
      </c>
      <c r="M36" s="7"/>
      <c r="N36" s="7"/>
      <c r="O36" s="7" t="s">
        <v>23</v>
      </c>
      <c r="P36" s="7"/>
      <c r="Q36" s="7"/>
      <c r="R36" s="7"/>
      <c r="S36" s="7"/>
      <c r="T36" s="25">
        <v>1</v>
      </c>
      <c r="U36" s="25">
        <v>1</v>
      </c>
      <c r="V36" s="6">
        <v>1</v>
      </c>
      <c r="W36" s="6" t="s">
        <v>19</v>
      </c>
      <c r="X36" s="7"/>
      <c r="Y36" s="7"/>
      <c r="Z36" s="7"/>
      <c r="AA36" s="6">
        <v>40</v>
      </c>
      <c r="AB36" s="8"/>
      <c r="AC36" s="8"/>
      <c r="AD36" s="6">
        <v>0</v>
      </c>
      <c r="AE36" s="6">
        <v>40</v>
      </c>
      <c r="AF36" s="8"/>
      <c r="AG36" s="8"/>
      <c r="AH36" s="7"/>
      <c r="AJ36" s="6"/>
      <c r="AK36" s="6"/>
    </row>
    <row r="37" spans="2:37" s="4" customFormat="1" ht="18" customHeight="1">
      <c r="B37" s="5"/>
      <c r="C37" s="6"/>
      <c r="D37" s="6"/>
      <c r="E37" s="6">
        <v>3</v>
      </c>
      <c r="F37" s="6">
        <v>1</v>
      </c>
      <c r="G37" s="6">
        <v>3</v>
      </c>
      <c r="H37" s="6">
        <v>3</v>
      </c>
      <c r="I37" s="6"/>
      <c r="J37" s="6"/>
      <c r="K37" s="51" t="str">
        <f t="shared" si="0"/>
        <v>003.001.003.003.---.---</v>
      </c>
      <c r="L37" s="50" t="str">
        <f t="shared" si="1"/>
        <v>3.1.3.3</v>
      </c>
      <c r="M37" s="7"/>
      <c r="N37" s="7"/>
      <c r="O37" s="7"/>
      <c r="P37" s="7" t="s">
        <v>24</v>
      </c>
      <c r="Q37" s="7"/>
      <c r="R37" s="7"/>
      <c r="S37" s="7"/>
      <c r="T37" s="25">
        <v>1</v>
      </c>
      <c r="U37" s="25">
        <v>1</v>
      </c>
      <c r="V37" s="6">
        <v>1</v>
      </c>
      <c r="W37" s="6" t="s">
        <v>19</v>
      </c>
      <c r="X37" s="7"/>
      <c r="Y37" s="7"/>
      <c r="Z37" s="7"/>
      <c r="AA37" s="6">
        <v>30</v>
      </c>
      <c r="AB37" s="8"/>
      <c r="AC37" s="8"/>
      <c r="AD37" s="6">
        <v>0</v>
      </c>
      <c r="AE37" s="6">
        <v>30</v>
      </c>
      <c r="AF37" s="8"/>
      <c r="AG37" s="8"/>
      <c r="AH37" s="7"/>
      <c r="AJ37" s="6"/>
      <c r="AK37" s="6"/>
    </row>
    <row r="38" spans="2:37" s="4" customFormat="1" ht="18" customHeight="1">
      <c r="B38" s="5"/>
      <c r="C38" s="6"/>
      <c r="D38" s="6"/>
      <c r="E38" s="6">
        <v>3</v>
      </c>
      <c r="F38" s="6">
        <v>1</v>
      </c>
      <c r="G38" s="6">
        <v>3</v>
      </c>
      <c r="H38" s="6">
        <v>3</v>
      </c>
      <c r="I38" s="6"/>
      <c r="J38" s="6">
        <v>1</v>
      </c>
      <c r="K38" s="51" t="str">
        <f t="shared" ref="K38:K69" si="2">IF(B38="E","ERROR",IF(E38="","XXX.XXX.XXX.XXX.XXX.XXX", _xlfn.CONCAT(TEXT(E38,"000"),IF(F38="",".---", "." &amp; TEXT(F38,"000")),IF(G38="",".---", "." &amp; TEXT(G38,"000")),IF(H38="",".---", "." &amp; TEXT(H38,"000")),IF(I38="",".---", "." &amp; TEXT(I38,"000")),IF(J38="",".---", "." &amp; TEXT(J38,"000")))))</f>
        <v>003.001.003.003.---.001</v>
      </c>
      <c r="L38" s="50" t="str">
        <f t="shared" ref="L38:L54" si="3">IF(B38="E","ERROR",IF(E38="","",_xlfn.CONCAT(E38,IF(F38="","","."&amp;F38 ), IF(G38="","","."&amp;G38 ), IF(H38="","","."&amp;H38 ), IF(I38="","","."&amp;I38 ), IF(J38="","",".T"&amp;J38 ))))</f>
        <v>3.1.3.3.T1</v>
      </c>
      <c r="M38" s="7"/>
      <c r="N38" s="7"/>
      <c r="O38" s="7"/>
      <c r="P38" s="7"/>
      <c r="Q38" s="7"/>
      <c r="R38" s="7" t="s">
        <v>63</v>
      </c>
      <c r="S38" s="7"/>
      <c r="T38" s="25">
        <v>1</v>
      </c>
      <c r="U38" s="25">
        <v>1</v>
      </c>
      <c r="V38" s="6">
        <v>1</v>
      </c>
      <c r="W38" s="6" t="s">
        <v>19</v>
      </c>
      <c r="X38" s="7"/>
      <c r="Y38" s="7"/>
      <c r="Z38" s="7"/>
      <c r="AA38" s="6">
        <v>5</v>
      </c>
      <c r="AB38" s="8"/>
      <c r="AC38" s="8"/>
      <c r="AD38" s="6">
        <v>0</v>
      </c>
      <c r="AE38" s="6">
        <v>5</v>
      </c>
      <c r="AF38" s="8"/>
      <c r="AG38" s="8"/>
      <c r="AH38" s="7"/>
      <c r="AJ38" s="6"/>
      <c r="AK38" s="6"/>
    </row>
    <row r="39" spans="2:37" s="4" customFormat="1" ht="18" customHeight="1">
      <c r="B39" s="5"/>
      <c r="C39" s="6"/>
      <c r="D39" s="6"/>
      <c r="E39" s="6">
        <v>3</v>
      </c>
      <c r="F39" s="6">
        <v>1</v>
      </c>
      <c r="G39" s="6">
        <v>3</v>
      </c>
      <c r="H39" s="6">
        <v>3</v>
      </c>
      <c r="I39" s="6"/>
      <c r="J39" s="6">
        <v>2</v>
      </c>
      <c r="K39" s="51" t="str">
        <f t="shared" si="2"/>
        <v>003.001.003.003.---.002</v>
      </c>
      <c r="L39" s="50" t="str">
        <f t="shared" si="3"/>
        <v>3.1.3.3.T2</v>
      </c>
      <c r="M39" s="7"/>
      <c r="N39" s="7"/>
      <c r="O39" s="7"/>
      <c r="P39" s="7"/>
      <c r="Q39" s="7"/>
      <c r="R39" s="7" t="s">
        <v>62</v>
      </c>
      <c r="S39" s="7"/>
      <c r="T39" s="25">
        <v>1</v>
      </c>
      <c r="U39" s="25">
        <v>1</v>
      </c>
      <c r="V39" s="6">
        <v>1</v>
      </c>
      <c r="W39" s="6" t="s">
        <v>19</v>
      </c>
      <c r="X39" s="7"/>
      <c r="Y39" s="7"/>
      <c r="Z39" s="7"/>
      <c r="AA39" s="6">
        <v>5</v>
      </c>
      <c r="AB39" s="8"/>
      <c r="AC39" s="8"/>
      <c r="AD39" s="6">
        <v>0</v>
      </c>
      <c r="AE39" s="6">
        <v>5</v>
      </c>
      <c r="AF39" s="8"/>
      <c r="AG39" s="8"/>
      <c r="AH39" s="7"/>
      <c r="AJ39" s="6"/>
      <c r="AK39" s="6"/>
    </row>
    <row r="40" spans="2:37" s="4" customFormat="1" ht="18" customHeight="1">
      <c r="B40" s="5"/>
      <c r="C40" s="6"/>
      <c r="D40" s="6"/>
      <c r="E40" s="6">
        <v>3</v>
      </c>
      <c r="F40" s="6">
        <v>1</v>
      </c>
      <c r="G40" s="6">
        <v>3</v>
      </c>
      <c r="H40" s="6">
        <v>3</v>
      </c>
      <c r="I40" s="6">
        <v>1</v>
      </c>
      <c r="J40" s="6"/>
      <c r="K40" s="51" t="str">
        <f t="shared" si="2"/>
        <v>003.001.003.003.001.---</v>
      </c>
      <c r="L40" s="50" t="str">
        <f t="shared" si="3"/>
        <v>3.1.3.3.1</v>
      </c>
      <c r="M40" s="7"/>
      <c r="N40" s="7"/>
      <c r="O40" s="7"/>
      <c r="P40" s="7"/>
      <c r="Q40" s="7" t="s">
        <v>37</v>
      </c>
      <c r="R40" s="7"/>
      <c r="S40" s="7"/>
      <c r="T40" s="25">
        <v>1</v>
      </c>
      <c r="U40" s="25">
        <v>1</v>
      </c>
      <c r="V40" s="6">
        <v>1</v>
      </c>
      <c r="W40" s="6" t="s">
        <v>19</v>
      </c>
      <c r="X40" s="7"/>
      <c r="Y40" s="7"/>
      <c r="Z40" s="7"/>
      <c r="AA40" s="6">
        <v>20</v>
      </c>
      <c r="AB40" s="8"/>
      <c r="AC40" s="8"/>
      <c r="AD40" s="6">
        <v>0</v>
      </c>
      <c r="AE40" s="6">
        <v>20</v>
      </c>
      <c r="AF40" s="8"/>
      <c r="AG40" s="8"/>
      <c r="AH40" s="7"/>
      <c r="AJ40" s="6"/>
      <c r="AK40" s="6"/>
    </row>
    <row r="41" spans="2:37" s="4" customFormat="1" ht="18" customHeight="1">
      <c r="B41" s="5"/>
      <c r="C41" s="6"/>
      <c r="D41" s="6"/>
      <c r="E41" s="6">
        <v>3</v>
      </c>
      <c r="F41" s="6">
        <v>1</v>
      </c>
      <c r="G41" s="6">
        <v>3</v>
      </c>
      <c r="H41" s="6">
        <v>3</v>
      </c>
      <c r="I41" s="6">
        <v>1</v>
      </c>
      <c r="J41" s="6">
        <v>1</v>
      </c>
      <c r="K41" s="51" t="str">
        <f t="shared" si="2"/>
        <v>003.001.003.003.001.001</v>
      </c>
      <c r="L41" s="50" t="str">
        <f t="shared" si="3"/>
        <v>3.1.3.3.1.T1</v>
      </c>
      <c r="M41" s="7"/>
      <c r="N41" s="7"/>
      <c r="O41" s="7"/>
      <c r="P41" s="7"/>
      <c r="Q41" s="7"/>
      <c r="R41" s="7" t="s">
        <v>65</v>
      </c>
      <c r="S41" s="7"/>
      <c r="T41" s="25">
        <v>1</v>
      </c>
      <c r="U41" s="25">
        <v>1</v>
      </c>
      <c r="V41" s="6">
        <v>1</v>
      </c>
      <c r="W41" s="6" t="s">
        <v>19</v>
      </c>
      <c r="X41" s="7"/>
      <c r="Y41" s="7"/>
      <c r="Z41" s="7"/>
      <c r="AA41" s="6">
        <v>20</v>
      </c>
      <c r="AB41" s="8"/>
      <c r="AC41" s="8"/>
      <c r="AD41" s="6">
        <v>0</v>
      </c>
      <c r="AE41" s="6">
        <v>20</v>
      </c>
      <c r="AF41" s="8"/>
      <c r="AG41" s="8"/>
      <c r="AH41" s="7"/>
      <c r="AJ41" s="6"/>
      <c r="AK41" s="6"/>
    </row>
    <row r="42" spans="2:37" s="4" customFormat="1" ht="18" customHeight="1">
      <c r="B42" s="5"/>
      <c r="C42" s="6"/>
      <c r="D42" s="6"/>
      <c r="E42" s="6">
        <v>3</v>
      </c>
      <c r="F42" s="6">
        <v>1</v>
      </c>
      <c r="G42" s="6">
        <v>3</v>
      </c>
      <c r="H42" s="6">
        <v>4</v>
      </c>
      <c r="I42" s="6"/>
      <c r="J42" s="6"/>
      <c r="K42" s="51" t="str">
        <f t="shared" si="2"/>
        <v>003.001.003.004.---.---</v>
      </c>
      <c r="L42" s="50" t="str">
        <f t="shared" si="3"/>
        <v>3.1.3.4</v>
      </c>
      <c r="M42" s="7"/>
      <c r="N42" s="7"/>
      <c r="O42" s="7"/>
      <c r="P42" s="7" t="s">
        <v>24</v>
      </c>
      <c r="Q42" s="7"/>
      <c r="R42" s="7"/>
      <c r="S42" s="7"/>
      <c r="T42" s="25">
        <v>1</v>
      </c>
      <c r="U42" s="25">
        <v>1</v>
      </c>
      <c r="V42" s="6">
        <v>1</v>
      </c>
      <c r="W42" s="6" t="s">
        <v>19</v>
      </c>
      <c r="X42" s="7"/>
      <c r="Y42" s="7"/>
      <c r="Z42" s="7"/>
      <c r="AA42" s="6">
        <v>10</v>
      </c>
      <c r="AB42" s="8"/>
      <c r="AC42" s="8"/>
      <c r="AD42" s="6">
        <v>0</v>
      </c>
      <c r="AE42" s="6">
        <v>10</v>
      </c>
      <c r="AF42" s="8"/>
      <c r="AG42" s="8"/>
      <c r="AH42" s="7"/>
      <c r="AJ42" s="6"/>
      <c r="AK42" s="6"/>
    </row>
    <row r="43" spans="2:37" s="4" customFormat="1" ht="18" customHeight="1">
      <c r="B43" s="5"/>
      <c r="C43" s="6"/>
      <c r="D43" s="6"/>
      <c r="E43" s="6">
        <v>3</v>
      </c>
      <c r="F43" s="6">
        <v>1</v>
      </c>
      <c r="G43" s="6">
        <v>3</v>
      </c>
      <c r="H43" s="6">
        <v>4</v>
      </c>
      <c r="I43" s="6"/>
      <c r="J43" s="6">
        <v>1</v>
      </c>
      <c r="K43" s="51" t="str">
        <f t="shared" si="2"/>
        <v>003.001.003.004.---.001</v>
      </c>
      <c r="L43" s="50" t="str">
        <f t="shared" si="3"/>
        <v>3.1.3.4.T1</v>
      </c>
      <c r="M43" s="7"/>
      <c r="N43" s="7"/>
      <c r="O43" s="7"/>
      <c r="P43" s="7"/>
      <c r="Q43" s="7"/>
      <c r="R43" s="7" t="s">
        <v>63</v>
      </c>
      <c r="S43" s="7"/>
      <c r="T43" s="25">
        <v>1</v>
      </c>
      <c r="U43" s="25">
        <v>1</v>
      </c>
      <c r="V43" s="6">
        <v>1</v>
      </c>
      <c r="W43" s="6" t="s">
        <v>19</v>
      </c>
      <c r="X43" s="7"/>
      <c r="Y43" s="7"/>
      <c r="Z43" s="7"/>
      <c r="AA43" s="6">
        <v>10</v>
      </c>
      <c r="AB43" s="8"/>
      <c r="AC43" s="8"/>
      <c r="AD43" s="6">
        <v>0</v>
      </c>
      <c r="AE43" s="6">
        <v>10</v>
      </c>
      <c r="AF43" s="8"/>
      <c r="AG43" s="8"/>
      <c r="AH43" s="7"/>
      <c r="AJ43" s="6"/>
      <c r="AK43" s="6"/>
    </row>
    <row r="44" spans="2:37" s="4" customFormat="1" ht="18" customHeight="1">
      <c r="B44" s="5"/>
      <c r="C44" s="6"/>
      <c r="D44" s="6"/>
      <c r="E44" s="6">
        <v>3</v>
      </c>
      <c r="F44" s="6">
        <v>2</v>
      </c>
      <c r="G44" s="6"/>
      <c r="H44" s="6"/>
      <c r="I44" s="6"/>
      <c r="J44" s="6"/>
      <c r="K44" s="51" t="str">
        <f t="shared" si="2"/>
        <v>003.002.---.---.---.---</v>
      </c>
      <c r="L44" s="50" t="str">
        <f t="shared" si="3"/>
        <v>3.2</v>
      </c>
      <c r="M44" s="7"/>
      <c r="N44" s="7" t="s">
        <v>22</v>
      </c>
      <c r="O44" s="7"/>
      <c r="P44" s="7"/>
      <c r="Q44" s="7"/>
      <c r="R44" s="7"/>
      <c r="S44" s="7"/>
      <c r="T44" s="25">
        <v>1</v>
      </c>
      <c r="U44" s="25">
        <v>1</v>
      </c>
      <c r="V44" s="6">
        <v>1</v>
      </c>
      <c r="W44" s="6" t="s">
        <v>19</v>
      </c>
      <c r="X44" s="7"/>
      <c r="Y44" s="7"/>
      <c r="Z44" s="7"/>
      <c r="AA44" s="6">
        <v>50</v>
      </c>
      <c r="AB44" s="8"/>
      <c r="AC44" s="8"/>
      <c r="AD44" s="6">
        <v>0</v>
      </c>
      <c r="AE44" s="6">
        <v>50</v>
      </c>
      <c r="AF44" s="8"/>
      <c r="AG44" s="8"/>
      <c r="AH44" s="7"/>
      <c r="AJ44" s="6"/>
      <c r="AK44" s="6"/>
    </row>
    <row r="45" spans="2:37" s="4" customFormat="1" ht="18" customHeight="1">
      <c r="B45" s="5"/>
      <c r="C45" s="6"/>
      <c r="D45" s="6"/>
      <c r="E45" s="6">
        <v>3</v>
      </c>
      <c r="F45" s="6">
        <v>2</v>
      </c>
      <c r="G45" s="6">
        <v>1</v>
      </c>
      <c r="H45" s="6"/>
      <c r="I45" s="6"/>
      <c r="J45" s="6"/>
      <c r="K45" s="51" t="str">
        <f t="shared" si="2"/>
        <v>003.002.001.---.---.---</v>
      </c>
      <c r="L45" s="50" t="str">
        <f t="shared" si="3"/>
        <v>3.2.1</v>
      </c>
      <c r="M45" s="7"/>
      <c r="N45" s="7"/>
      <c r="O45" s="7" t="s">
        <v>23</v>
      </c>
      <c r="P45" s="7"/>
      <c r="Q45" s="7"/>
      <c r="R45" s="7"/>
      <c r="S45" s="7"/>
      <c r="T45" s="25">
        <v>1</v>
      </c>
      <c r="U45" s="25">
        <v>1</v>
      </c>
      <c r="V45" s="6">
        <v>1</v>
      </c>
      <c r="W45" s="6" t="s">
        <v>19</v>
      </c>
      <c r="X45" s="7"/>
      <c r="Y45" s="7"/>
      <c r="Z45" s="7"/>
      <c r="AA45" s="6">
        <v>50</v>
      </c>
      <c r="AB45" s="8"/>
      <c r="AC45" s="8"/>
      <c r="AD45" s="6">
        <v>0</v>
      </c>
      <c r="AE45" s="6">
        <v>50</v>
      </c>
      <c r="AF45" s="8"/>
      <c r="AG45" s="8"/>
      <c r="AH45" s="7"/>
      <c r="AJ45" s="6"/>
      <c r="AK45" s="6"/>
    </row>
    <row r="46" spans="2:37" s="4" customFormat="1" ht="18" customHeight="1">
      <c r="B46" s="5"/>
      <c r="C46" s="6"/>
      <c r="D46" s="6"/>
      <c r="E46" s="6">
        <v>3</v>
      </c>
      <c r="F46" s="6">
        <v>2</v>
      </c>
      <c r="G46" s="6">
        <v>1</v>
      </c>
      <c r="H46" s="6">
        <v>1</v>
      </c>
      <c r="I46" s="6"/>
      <c r="J46" s="6"/>
      <c r="K46" s="51" t="str">
        <f t="shared" si="2"/>
        <v>003.002.001.001.---.---</v>
      </c>
      <c r="L46" s="50" t="str">
        <f t="shared" si="3"/>
        <v>3.2.1.1</v>
      </c>
      <c r="M46" s="7"/>
      <c r="N46" s="7"/>
      <c r="O46" s="7"/>
      <c r="P46" s="7" t="s">
        <v>24</v>
      </c>
      <c r="Q46" s="7"/>
      <c r="R46" s="7"/>
      <c r="S46" s="7"/>
      <c r="T46" s="25">
        <v>1</v>
      </c>
      <c r="U46" s="25">
        <v>1</v>
      </c>
      <c r="V46" s="6">
        <v>1</v>
      </c>
      <c r="W46" s="6" t="s">
        <v>19</v>
      </c>
      <c r="X46" s="7"/>
      <c r="Y46" s="7"/>
      <c r="Z46" s="7"/>
      <c r="AA46" s="6">
        <v>50</v>
      </c>
      <c r="AB46" s="8"/>
      <c r="AC46" s="8"/>
      <c r="AD46" s="6">
        <v>0</v>
      </c>
      <c r="AE46" s="6">
        <v>50</v>
      </c>
      <c r="AF46" s="8"/>
      <c r="AG46" s="8"/>
      <c r="AH46" s="7"/>
      <c r="AJ46" s="6"/>
      <c r="AK46" s="6"/>
    </row>
    <row r="47" spans="2:37" s="4" customFormat="1" ht="18" customHeight="1">
      <c r="B47" s="5"/>
      <c r="C47" s="6"/>
      <c r="D47" s="6"/>
      <c r="E47" s="6">
        <v>3</v>
      </c>
      <c r="F47" s="6">
        <v>2</v>
      </c>
      <c r="G47" s="6">
        <v>1</v>
      </c>
      <c r="H47" s="6">
        <v>1</v>
      </c>
      <c r="I47" s="6">
        <v>1</v>
      </c>
      <c r="J47" s="6"/>
      <c r="K47" s="51" t="str">
        <f t="shared" si="2"/>
        <v>003.002.001.001.001.---</v>
      </c>
      <c r="L47" s="50" t="str">
        <f t="shared" si="3"/>
        <v>3.2.1.1.1</v>
      </c>
      <c r="M47" s="7"/>
      <c r="N47" s="7"/>
      <c r="O47" s="7"/>
      <c r="P47" s="7"/>
      <c r="Q47" s="7" t="s">
        <v>37</v>
      </c>
      <c r="R47" s="7"/>
      <c r="S47" s="7"/>
      <c r="T47" s="25">
        <v>1</v>
      </c>
      <c r="U47" s="25">
        <v>1</v>
      </c>
      <c r="V47" s="6">
        <v>1</v>
      </c>
      <c r="W47" s="6" t="s">
        <v>19</v>
      </c>
      <c r="X47" s="7"/>
      <c r="Y47" s="7"/>
      <c r="Z47" s="7"/>
      <c r="AA47" s="6">
        <v>10</v>
      </c>
      <c r="AB47" s="8"/>
      <c r="AC47" s="8"/>
      <c r="AD47" s="6">
        <v>0</v>
      </c>
      <c r="AE47" s="6">
        <v>10</v>
      </c>
      <c r="AF47" s="8"/>
      <c r="AG47" s="8"/>
      <c r="AH47" s="7"/>
      <c r="AJ47" s="6"/>
      <c r="AK47" s="6"/>
    </row>
    <row r="48" spans="2:37" s="4" customFormat="1" ht="18" customHeight="1">
      <c r="B48" s="5"/>
      <c r="C48" s="6"/>
      <c r="D48" s="6"/>
      <c r="E48" s="6">
        <v>3</v>
      </c>
      <c r="F48" s="6">
        <v>2</v>
      </c>
      <c r="G48" s="6">
        <v>1</v>
      </c>
      <c r="H48" s="6">
        <v>1</v>
      </c>
      <c r="I48" s="6">
        <v>1</v>
      </c>
      <c r="J48" s="6">
        <v>1</v>
      </c>
      <c r="K48" s="51" t="str">
        <f t="shared" si="2"/>
        <v>003.002.001.001.001.001</v>
      </c>
      <c r="L48" s="50" t="str">
        <f t="shared" si="3"/>
        <v>3.2.1.1.1.T1</v>
      </c>
      <c r="M48" s="7"/>
      <c r="N48" s="7"/>
      <c r="O48" s="7"/>
      <c r="P48" s="7"/>
      <c r="Q48" s="7"/>
      <c r="R48" s="7" t="s">
        <v>65</v>
      </c>
      <c r="S48" s="7"/>
      <c r="T48" s="25">
        <v>1</v>
      </c>
      <c r="U48" s="25">
        <v>1</v>
      </c>
      <c r="V48" s="6">
        <v>1</v>
      </c>
      <c r="W48" s="6" t="s">
        <v>19</v>
      </c>
      <c r="X48" s="7"/>
      <c r="Y48" s="7"/>
      <c r="Z48" s="7"/>
      <c r="AA48" s="6">
        <v>8</v>
      </c>
      <c r="AB48" s="8"/>
      <c r="AC48" s="8"/>
      <c r="AD48" s="6">
        <v>0</v>
      </c>
      <c r="AE48" s="6">
        <v>8</v>
      </c>
      <c r="AF48" s="8"/>
      <c r="AG48" s="8"/>
      <c r="AH48" s="7"/>
      <c r="AJ48" s="6"/>
      <c r="AK48" s="6"/>
    </row>
    <row r="49" spans="1:37" s="4" customFormat="1" ht="18" customHeight="1">
      <c r="B49" s="5"/>
      <c r="C49" s="6"/>
      <c r="D49" s="6"/>
      <c r="E49" s="6">
        <v>3</v>
      </c>
      <c r="F49" s="6">
        <v>2</v>
      </c>
      <c r="G49" s="6">
        <v>1</v>
      </c>
      <c r="H49" s="6">
        <v>1</v>
      </c>
      <c r="I49" s="6">
        <v>1</v>
      </c>
      <c r="J49" s="6">
        <v>2</v>
      </c>
      <c r="K49" s="51" t="str">
        <f t="shared" si="2"/>
        <v>003.002.001.001.001.002</v>
      </c>
      <c r="L49" s="50" t="str">
        <f t="shared" si="3"/>
        <v>3.2.1.1.1.T2</v>
      </c>
      <c r="M49" s="7"/>
      <c r="N49" s="7"/>
      <c r="O49" s="7"/>
      <c r="P49" s="7"/>
      <c r="Q49" s="7"/>
      <c r="R49" s="7" t="s">
        <v>66</v>
      </c>
      <c r="S49" s="7"/>
      <c r="T49" s="25">
        <v>1</v>
      </c>
      <c r="U49" s="25">
        <v>1</v>
      </c>
      <c r="V49" s="6">
        <v>2</v>
      </c>
      <c r="W49" s="6" t="s">
        <v>19</v>
      </c>
      <c r="X49" s="7"/>
      <c r="Y49" s="7"/>
      <c r="Z49" s="7"/>
      <c r="AA49" s="6">
        <v>2</v>
      </c>
      <c r="AB49" s="8"/>
      <c r="AC49" s="8"/>
      <c r="AD49" s="6">
        <v>0</v>
      </c>
      <c r="AE49" s="6">
        <v>2</v>
      </c>
      <c r="AF49" s="8"/>
      <c r="AG49" s="8"/>
      <c r="AH49" s="7"/>
      <c r="AJ49" s="6"/>
      <c r="AK49" s="6"/>
    </row>
    <row r="50" spans="1:37" s="4" customFormat="1" ht="18" customHeight="1">
      <c r="B50" s="5"/>
      <c r="C50" s="6"/>
      <c r="D50" s="6"/>
      <c r="E50" s="6">
        <v>3</v>
      </c>
      <c r="F50" s="6">
        <v>2</v>
      </c>
      <c r="G50" s="6">
        <v>1</v>
      </c>
      <c r="H50" s="6">
        <v>1</v>
      </c>
      <c r="I50" s="6">
        <v>2</v>
      </c>
      <c r="J50" s="6"/>
      <c r="K50" s="51" t="str">
        <f t="shared" si="2"/>
        <v>003.002.001.001.002.---</v>
      </c>
      <c r="L50" s="50" t="str">
        <f t="shared" si="3"/>
        <v>3.2.1.1.2</v>
      </c>
      <c r="M50" s="7"/>
      <c r="N50" s="7"/>
      <c r="O50" s="7"/>
      <c r="P50" s="7"/>
      <c r="Q50" s="7" t="s">
        <v>37</v>
      </c>
      <c r="R50" s="7"/>
      <c r="S50" s="7"/>
      <c r="T50" s="25">
        <v>1</v>
      </c>
      <c r="U50" s="25">
        <v>1</v>
      </c>
      <c r="V50" s="6">
        <v>1</v>
      </c>
      <c r="W50" s="6" t="s">
        <v>19</v>
      </c>
      <c r="X50" s="7"/>
      <c r="Y50" s="7"/>
      <c r="Z50" s="7"/>
      <c r="AA50" s="6">
        <v>40</v>
      </c>
      <c r="AB50" s="8"/>
      <c r="AC50" s="8"/>
      <c r="AD50" s="6">
        <v>0</v>
      </c>
      <c r="AE50" s="6">
        <v>40</v>
      </c>
      <c r="AF50" s="8"/>
      <c r="AG50" s="8"/>
      <c r="AH50" s="7"/>
      <c r="AJ50" s="6"/>
      <c r="AK50" s="6"/>
    </row>
    <row r="51" spans="1:37" s="4" customFormat="1" ht="18" customHeight="1">
      <c r="B51" s="5"/>
      <c r="C51" s="6"/>
      <c r="D51" s="6"/>
      <c r="E51" s="6">
        <v>3</v>
      </c>
      <c r="F51" s="6">
        <v>2</v>
      </c>
      <c r="G51" s="6">
        <v>1</v>
      </c>
      <c r="H51" s="6">
        <v>1</v>
      </c>
      <c r="I51" s="6">
        <v>2</v>
      </c>
      <c r="J51" s="6">
        <v>1</v>
      </c>
      <c r="K51" s="51" t="str">
        <f t="shared" si="2"/>
        <v>003.002.001.001.002.001</v>
      </c>
      <c r="L51" s="50" t="str">
        <f t="shared" si="3"/>
        <v>3.2.1.1.2.T1</v>
      </c>
      <c r="M51" s="7"/>
      <c r="N51" s="7"/>
      <c r="O51" s="7"/>
      <c r="P51" s="7"/>
      <c r="Q51" s="7"/>
      <c r="R51" s="7" t="s">
        <v>65</v>
      </c>
      <c r="S51" s="7"/>
      <c r="T51" s="25">
        <v>1</v>
      </c>
      <c r="U51" s="25">
        <v>1</v>
      </c>
      <c r="V51" s="6">
        <v>1</v>
      </c>
      <c r="W51" s="6" t="s">
        <v>19</v>
      </c>
      <c r="X51" s="7"/>
      <c r="Y51" s="7"/>
      <c r="Z51" s="7"/>
      <c r="AA51" s="6">
        <v>10</v>
      </c>
      <c r="AB51" s="8"/>
      <c r="AC51" s="8"/>
      <c r="AD51" s="6">
        <v>0</v>
      </c>
      <c r="AE51" s="6">
        <v>10</v>
      </c>
      <c r="AF51" s="8"/>
      <c r="AG51" s="8"/>
      <c r="AH51" s="7"/>
      <c r="AJ51" s="6"/>
      <c r="AK51" s="6"/>
    </row>
    <row r="52" spans="1:37" s="4" customFormat="1" ht="18" customHeight="1">
      <c r="B52" s="5"/>
      <c r="C52" s="6"/>
      <c r="D52" s="6"/>
      <c r="E52" s="6">
        <v>3</v>
      </c>
      <c r="F52" s="6">
        <v>2</v>
      </c>
      <c r="G52" s="6">
        <v>1</v>
      </c>
      <c r="H52" s="6">
        <v>1</v>
      </c>
      <c r="I52" s="6">
        <v>2</v>
      </c>
      <c r="J52" s="6">
        <v>2</v>
      </c>
      <c r="K52" s="51" t="str">
        <f t="shared" si="2"/>
        <v>003.002.001.001.002.002</v>
      </c>
      <c r="L52" s="50" t="str">
        <f t="shared" si="3"/>
        <v>3.2.1.1.2.T2</v>
      </c>
      <c r="M52" s="7"/>
      <c r="N52" s="7"/>
      <c r="O52" s="7"/>
      <c r="P52" s="7"/>
      <c r="Q52" s="7"/>
      <c r="R52" s="7" t="s">
        <v>66</v>
      </c>
      <c r="S52" s="7"/>
      <c r="T52" s="25">
        <v>1</v>
      </c>
      <c r="U52" s="25">
        <v>1</v>
      </c>
      <c r="V52" s="6">
        <v>1</v>
      </c>
      <c r="W52" s="6" t="s">
        <v>19</v>
      </c>
      <c r="X52" s="7"/>
      <c r="Y52" s="7"/>
      <c r="Z52" s="7"/>
      <c r="AA52" s="6">
        <v>10</v>
      </c>
      <c r="AB52" s="8"/>
      <c r="AC52" s="8"/>
      <c r="AD52" s="6">
        <v>0</v>
      </c>
      <c r="AE52" s="6">
        <v>10</v>
      </c>
      <c r="AF52" s="8"/>
      <c r="AG52" s="8"/>
      <c r="AH52" s="7"/>
      <c r="AJ52" s="6"/>
      <c r="AK52" s="6"/>
    </row>
    <row r="53" spans="1:37" s="4" customFormat="1" ht="18" customHeight="1">
      <c r="B53" s="5"/>
      <c r="C53" s="6"/>
      <c r="D53" s="6"/>
      <c r="E53" s="6">
        <v>3</v>
      </c>
      <c r="F53" s="6">
        <v>2</v>
      </c>
      <c r="G53" s="6">
        <v>1</v>
      </c>
      <c r="H53" s="6">
        <v>1</v>
      </c>
      <c r="I53" s="6">
        <v>2</v>
      </c>
      <c r="J53" s="6">
        <v>3</v>
      </c>
      <c r="K53" s="51" t="str">
        <f t="shared" si="2"/>
        <v>003.002.001.001.002.003</v>
      </c>
      <c r="L53" s="50" t="str">
        <f t="shared" si="3"/>
        <v>3.2.1.1.2.T3</v>
      </c>
      <c r="M53" s="7"/>
      <c r="N53" s="7"/>
      <c r="O53" s="7"/>
      <c r="P53" s="7"/>
      <c r="Q53" s="7"/>
      <c r="R53" s="7" t="s">
        <v>67</v>
      </c>
      <c r="S53" s="7"/>
      <c r="T53" s="25">
        <v>1</v>
      </c>
      <c r="U53" s="25">
        <v>1</v>
      </c>
      <c r="V53" s="6">
        <v>1</v>
      </c>
      <c r="W53" s="6" t="s">
        <v>19</v>
      </c>
      <c r="X53" s="7"/>
      <c r="Y53" s="7"/>
      <c r="Z53" s="7"/>
      <c r="AA53" s="6">
        <v>20</v>
      </c>
      <c r="AB53" s="8"/>
      <c r="AC53" s="8"/>
      <c r="AD53" s="6">
        <v>0</v>
      </c>
      <c r="AE53" s="6">
        <v>20</v>
      </c>
      <c r="AF53" s="8"/>
      <c r="AG53" s="8"/>
      <c r="AH53" s="7"/>
      <c r="AJ53" s="6"/>
      <c r="AK53" s="6"/>
    </row>
    <row r="54" spans="1:37" s="4" customFormat="1" ht="18" customHeight="1">
      <c r="B54" s="5"/>
      <c r="C54" s="6"/>
      <c r="D54" s="6"/>
      <c r="E54" s="6"/>
      <c r="F54" s="6"/>
      <c r="G54" s="6"/>
      <c r="H54" s="6"/>
      <c r="I54" s="6"/>
      <c r="J54" s="6"/>
      <c r="K54" s="51" t="str">
        <f t="shared" si="2"/>
        <v>XXX.XXX.XXX.XXX.XXX.XXX</v>
      </c>
      <c r="L54" s="50" t="str">
        <f t="shared" si="3"/>
        <v/>
      </c>
      <c r="M54" s="7"/>
      <c r="N54" s="7"/>
      <c r="O54" s="7"/>
      <c r="P54" s="7"/>
      <c r="Q54" s="7"/>
      <c r="R54" s="7"/>
      <c r="S54" s="7"/>
      <c r="T54" s="25"/>
      <c r="U54" s="25"/>
      <c r="V54" s="6">
        <v>1</v>
      </c>
      <c r="W54" s="6" t="s">
        <v>19</v>
      </c>
      <c r="X54" s="7"/>
      <c r="Y54" s="7"/>
      <c r="Z54" s="7"/>
      <c r="AA54" s="6"/>
      <c r="AB54" s="8"/>
      <c r="AC54" s="8"/>
      <c r="AD54" s="6"/>
      <c r="AE54" s="6"/>
      <c r="AF54" s="8"/>
      <c r="AG54" s="8"/>
      <c r="AH54" s="7"/>
      <c r="AJ54" s="6"/>
      <c r="AK54" s="6"/>
    </row>
    <row r="55" spans="1:37" s="4" customFormat="1" ht="18" customHeight="1">
      <c r="A55" s="4" t="s">
        <v>14</v>
      </c>
      <c r="C55" s="5"/>
      <c r="D55" s="5"/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 t="s">
        <v>50</v>
      </c>
      <c r="U55" s="45" t="s">
        <v>50</v>
      </c>
      <c r="V55" s="45"/>
      <c r="W55" s="45"/>
      <c r="X55" s="45"/>
      <c r="Y55" s="45"/>
      <c r="Z55" s="45"/>
      <c r="AA55" s="45" t="s">
        <v>51</v>
      </c>
      <c r="AB55" s="45"/>
      <c r="AC55" s="45"/>
      <c r="AD55" s="45" t="s">
        <v>51</v>
      </c>
      <c r="AE55" s="45" t="s">
        <v>51</v>
      </c>
      <c r="AF55" s="45"/>
      <c r="AG55" s="45"/>
      <c r="AH55" s="47"/>
      <c r="AJ55" s="6"/>
      <c r="AK55" s="6"/>
    </row>
    <row r="56" spans="1:37" s="35" customFormat="1" ht="18" customHeight="1">
      <c r="S56" s="38"/>
      <c r="T56" s="36">
        <v>1</v>
      </c>
      <c r="U56" s="36">
        <v>1</v>
      </c>
      <c r="Z56" s="38"/>
      <c r="AA56" s="36">
        <v>790</v>
      </c>
      <c r="AD56" s="48">
        <v>0</v>
      </c>
      <c r="AE56" s="48">
        <v>790</v>
      </c>
      <c r="AJ56" s="43"/>
      <c r="AK56" s="43"/>
    </row>
    <row r="57" spans="1:37" s="35" customFormat="1" ht="15" customHeight="1">
      <c r="X57" s="37"/>
      <c r="AJ57" s="43"/>
      <c r="AK57" s="43"/>
    </row>
    <row r="58" spans="1:37" s="35" customFormat="1" ht="15" customHeight="1">
      <c r="AJ58" s="43"/>
      <c r="AK58" s="43"/>
    </row>
    <row r="77" spans="3:3" ht="15.75">
      <c r="C77" s="37"/>
    </row>
  </sheetData>
  <sortState xmlns:xlrd2="http://schemas.microsoft.com/office/spreadsheetml/2017/richdata2" ref="B6:AH54">
    <sortCondition ref="K6"/>
  </sortState>
  <phoneticPr fontId="1"/>
  <conditionalFormatting sqref="E6:AH54">
    <cfRule type="expression" dxfId="53" priority="9">
      <formula>AND(ISNUMBER($E6),$J6="")</formula>
    </cfRule>
    <cfRule type="expression" dxfId="52" priority="55">
      <formula>$A6=""</formula>
    </cfRule>
    <cfRule type="expression" dxfId="51" priority="56">
      <formula>AND($W6="完了",$J6="")</formula>
    </cfRule>
    <cfRule type="expression" dxfId="50" priority="57">
      <formula>AND($W6="完了",$J6&lt;&gt;"")</formula>
    </cfRule>
    <cfRule type="expression" dxfId="49" priority="58">
      <formula>$W6="未着手"</formula>
    </cfRule>
    <cfRule type="expression" dxfId="48" priority="59">
      <formula>$W6="保留"</formula>
    </cfRule>
    <cfRule type="expression" dxfId="47" priority="66">
      <formula>$W6="着手中"</formula>
    </cfRule>
  </conditionalFormatting>
  <conditionalFormatting sqref="C4:AH5">
    <cfRule type="expression" dxfId="46" priority="68">
      <formula>OR($A4="@",$A5="@")</formula>
    </cfRule>
  </conditionalFormatting>
  <conditionalFormatting sqref="C55:AH55">
    <cfRule type="expression" dxfId="45" priority="67">
      <formula>$A55="$"</formula>
    </cfRule>
  </conditionalFormatting>
  <conditionalFormatting sqref="T6:AH54">
    <cfRule type="expression" dxfId="44" priority="45">
      <formula>$A6=""</formula>
    </cfRule>
  </conditionalFormatting>
  <conditionalFormatting sqref="E6:E54">
    <cfRule type="expression" dxfId="43" priority="21">
      <formula>AND(NOT(ISNUMBER($E6)),ISNUMBER($F6))</formula>
    </cfRule>
    <cfRule type="expression" dxfId="42" priority="53">
      <formula>$A6=""</formula>
    </cfRule>
  </conditionalFormatting>
  <conditionalFormatting sqref="F6:F54">
    <cfRule type="expression" dxfId="41" priority="20">
      <formula>AND(NOT(ISNUMBER($F6)),ISNUMBER($G6))</formula>
    </cfRule>
    <cfRule type="expression" dxfId="40" priority="52">
      <formula>$A6=""</formula>
    </cfRule>
  </conditionalFormatting>
  <conditionalFormatting sqref="G6:I54">
    <cfRule type="expression" dxfId="39" priority="51">
      <formula>$A6=""</formula>
    </cfRule>
  </conditionalFormatting>
  <conditionalFormatting sqref="J6:J54">
    <cfRule type="expression" dxfId="38" priority="48">
      <formula>$A6=""</formula>
    </cfRule>
  </conditionalFormatting>
  <conditionalFormatting sqref="B6:B54">
    <cfRule type="cellIs" dxfId="37" priority="49" operator="equal">
      <formula>"E"</formula>
    </cfRule>
  </conditionalFormatting>
  <conditionalFormatting sqref="K6:K54">
    <cfRule type="expression" dxfId="36" priority="46">
      <formula>$K6&lt;&gt;""</formula>
    </cfRule>
  </conditionalFormatting>
  <conditionalFormatting sqref="C6:D54">
    <cfRule type="expression" dxfId="35" priority="47">
      <formula>$A6=""</formula>
    </cfRule>
  </conditionalFormatting>
  <conditionalFormatting sqref="U6:U54">
    <cfRule type="expression" dxfId="34" priority="8">
      <formula>AND($J6="",$U6&lt;&gt;"")</formula>
    </cfRule>
    <cfRule type="expression" dxfId="33" priority="10">
      <formula>AND($J6&lt;&gt;"",$W6="完了",$U6&lt;&gt;100%)</formula>
    </cfRule>
    <cfRule type="expression" dxfId="32" priority="30">
      <formula>AND($J6&lt;&gt;"",$U6="")</formula>
    </cfRule>
  </conditionalFormatting>
  <conditionalFormatting sqref="E6:J54">
    <cfRule type="expression" dxfId="31" priority="96">
      <formula>$A6=""</formula>
    </cfRule>
  </conditionalFormatting>
  <conditionalFormatting sqref="G6:G54">
    <cfRule type="expression" dxfId="30" priority="18">
      <formula>AND(NOT(ISNUMBER($G6)),ISNUMBER($H6))</formula>
    </cfRule>
  </conditionalFormatting>
  <conditionalFormatting sqref="H6:H54">
    <cfRule type="expression" dxfId="29" priority="17">
      <formula>AND(NOT(ISNUMBER($H6)),ISNUMBER($I6))</formula>
    </cfRule>
  </conditionalFormatting>
  <conditionalFormatting sqref="AA6:AA54">
    <cfRule type="expression" dxfId="28" priority="7">
      <formula>AND($J6="",$AA6&lt;&gt;"")</formula>
    </cfRule>
    <cfRule type="expression" dxfId="27" priority="37">
      <formula>AND($J6&lt;&gt;"",$AA6="")</formula>
    </cfRule>
  </conditionalFormatting>
  <conditionalFormatting sqref="M6:M54">
    <cfRule type="expression" dxfId="26" priority="38">
      <formula>AND(ISNUMBER($E6),$F6="",$G6="",$H6="",$I6="",$J6="",$M6="")</formula>
    </cfRule>
  </conditionalFormatting>
  <conditionalFormatting sqref="N6:N54">
    <cfRule type="expression" dxfId="25" priority="25">
      <formula>AND(ISNUMBER($E6),ISNUMBER($F6),$G6="",$H6="",$I6="",$J6="",$N6="")</formula>
    </cfRule>
  </conditionalFormatting>
  <conditionalFormatting sqref="O6:O54">
    <cfRule type="expression" dxfId="24" priority="36">
      <formula>AND(ISNUMBER($E6),ISNUMBER($F6),ISNUMBER($G6),$H6="",$I6="",$J6="",$O6="")</formula>
    </cfRule>
  </conditionalFormatting>
  <conditionalFormatting sqref="P6:P54">
    <cfRule type="expression" dxfId="23" priority="35">
      <formula>AND(ISNUMBER($E6),ISNUMBER($F6),ISNUMBER($G6),ISNUMBER($H6),$I6="",$J6="",$P6="")</formula>
    </cfRule>
  </conditionalFormatting>
  <conditionalFormatting sqref="Q6:Q54">
    <cfRule type="expression" dxfId="22" priority="34">
      <formula>AND(ISNUMBER($E6),ISNUMBER($F6),ISNUMBER($G6),ISNUMBER($H6),ISNUMBER($I6),$J6="",$Q6="")</formula>
    </cfRule>
  </conditionalFormatting>
  <conditionalFormatting sqref="R6:R54">
    <cfRule type="expression" dxfId="21" priority="33">
      <formula>AND(ISNUMBER($J6),$R6="")</formula>
    </cfRule>
  </conditionalFormatting>
  <conditionalFormatting sqref="Z6:Z54">
    <cfRule type="expression" dxfId="20" priority="32">
      <formula>AND(ISNUMBER($J6),$Z6="")</formula>
    </cfRule>
  </conditionalFormatting>
  <conditionalFormatting sqref="AD6:AE54">
    <cfRule type="expression" dxfId="19" priority="16">
      <formula>AND($W6="完了",$AD6="")</formula>
    </cfRule>
  </conditionalFormatting>
  <conditionalFormatting sqref="AF6:AF54">
    <cfRule type="expression" dxfId="18" priority="14">
      <formula>AND($W6="完了",$AF6="")</formula>
    </cfRule>
  </conditionalFormatting>
  <conditionalFormatting sqref="AG6:AG54">
    <cfRule type="expression" dxfId="17" priority="11">
      <formula>AND($W6="完了",$AG6="")</formula>
    </cfRule>
  </conditionalFormatting>
  <conditionalFormatting sqref="C6:AH54">
    <cfRule type="expression" dxfId="16" priority="3">
      <formula>AND($E6&lt;&gt;"",$W6="削除")</formula>
    </cfRule>
    <cfRule type="expression" dxfId="15" priority="39">
      <formula>AND(ISNUMBER($E6),ISNUMBER($F6),ISNUMBER($G6),ISNUMBER($H6),$I6="",$J6="")</formula>
    </cfRule>
    <cfRule type="expression" dxfId="14" priority="40">
      <formula>AND(ISNUMBER($E6),ISNUMBER($F6),ISNUMBER($G6),ISNUMBER($H6),ISNUMBER($I6),$J6="")</formula>
    </cfRule>
    <cfRule type="expression" dxfId="13" priority="41">
      <formula>AND(ISNUMBER($E6),ISNUMBER($F6),ISNUMBER($G6),$H6="",$I6="",$J6="")</formula>
    </cfRule>
    <cfRule type="expression" dxfId="12" priority="43">
      <formula>AND(ISNUMBER($E6),ISNUMBER($F6),$G6="",$H6="",$I6="",$J6="")</formula>
    </cfRule>
    <cfRule type="expression" dxfId="11" priority="44">
      <formula>AND(ISNUMBER($E6),$F6="",$G6="",$H6="",$I6="",$J6="")</formula>
    </cfRule>
  </conditionalFormatting>
  <conditionalFormatting sqref="X6:X54">
    <cfRule type="expression" dxfId="10" priority="28">
      <formula>AND($J6&lt;&gt;"",$X6="")</formula>
    </cfRule>
  </conditionalFormatting>
  <conditionalFormatting sqref="Y6:Y54">
    <cfRule type="expression" dxfId="9" priority="27">
      <formula>AND($J6&lt;&gt;"",$Y6="")</formula>
    </cfRule>
  </conditionalFormatting>
  <conditionalFormatting sqref="AJ4:AK5">
    <cfRule type="expression" dxfId="8" priority="23">
      <formula>TRUE</formula>
    </cfRule>
  </conditionalFormatting>
  <conditionalFormatting sqref="T56:U56">
    <cfRule type="expression" dxfId="7" priority="13">
      <formula>TRUE</formula>
    </cfRule>
  </conditionalFormatting>
  <conditionalFormatting sqref="AA56">
    <cfRule type="expression" dxfId="6" priority="12">
      <formula>TRUE</formula>
    </cfRule>
  </conditionalFormatting>
  <conditionalFormatting sqref="AD6:AD54">
    <cfRule type="expression" dxfId="5" priority="6">
      <formula>AND($J6="",$AD6&lt;&gt;"")</formula>
    </cfRule>
    <cfRule type="expression" dxfId="4" priority="26">
      <formula>AND($J6&lt;&gt;"",$AD6="")</formula>
    </cfRule>
  </conditionalFormatting>
  <conditionalFormatting sqref="AE6:AE54">
    <cfRule type="expression" dxfId="3" priority="5">
      <formula>AND($J6="",$AE6&lt;&gt;"")</formula>
    </cfRule>
    <cfRule type="expression" dxfId="2" priority="24">
      <formula>AND($J6&lt;&gt;"",$AE6="")</formula>
    </cfRule>
  </conditionalFormatting>
  <conditionalFormatting sqref="AD56:AE56">
    <cfRule type="expression" dxfId="1" priority="4">
      <formula>TRUE</formula>
    </cfRule>
  </conditionalFormatting>
  <conditionalFormatting sqref="T6:T54">
    <cfRule type="expression" dxfId="0" priority="2">
      <formula>$T6&lt;&gt;""</formula>
    </cfRule>
  </conditionalFormatting>
  <dataValidations count="7">
    <dataValidation type="whole" allowBlank="1" showInputMessage="1" showErrorMessage="1" sqref="E6:J54" xr:uid="{FE7F53FF-EE55-4CBC-9DA3-BF16AB8BE815}">
      <formula1>1</formula1>
      <formula2>999</formula2>
    </dataValidation>
    <dataValidation type="whole" allowBlank="1" showInputMessage="1" showErrorMessage="1" sqref="V6:V54" xr:uid="{04271D7D-63D0-44C2-986D-7726BC97A16C}">
      <formula1>1</formula1>
      <formula2>99</formula2>
    </dataValidation>
    <dataValidation type="list" allowBlank="1" showInputMessage="1" showErrorMessage="1" sqref="W6:W54" xr:uid="{58A8ED44-E2E5-4BCC-82CB-B3259CAC93EE}">
      <formula1>"-,未着手,着手中,保留,完了,削除"</formula1>
    </dataValidation>
    <dataValidation type="decimal" allowBlank="1" showInputMessage="1" showErrorMessage="1" sqref="T6:U54" xr:uid="{9302DED4-6D70-4C5C-B1C9-754C1269DC0A}">
      <formula1>0</formula1>
      <formula2>100</formula2>
    </dataValidation>
    <dataValidation type="decimal" operator="greaterThanOrEqual" allowBlank="1" showInputMessage="1" showErrorMessage="1" sqref="AD6:AE54 AA6:AA54" xr:uid="{E62FD696-B6F0-4AD3-ADDC-545D898DD4D2}">
      <formula1>0</formula1>
    </dataValidation>
    <dataValidation type="list" allowBlank="1" showInputMessage="1" showErrorMessage="1" sqref="X6:X54" xr:uid="{8F7DCC5D-5C7A-4083-9384-C33A9BEB2744}">
      <formula1>$AJ$6:$AJ$8</formula1>
    </dataValidation>
    <dataValidation type="list" allowBlank="1" showInputMessage="1" showErrorMessage="1" sqref="Y6:Y54" xr:uid="{BEE938FD-2840-4EC6-A23B-690DF6B234ED}">
      <formula1>$AK$6:$AK$14</formula1>
    </dataValidation>
  </dataValidations>
  <hyperlinks>
    <hyperlink ref="AH3" r:id="rId1" xr:uid="{D4037D80-9C28-4501-A721-6892F90DDCD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" r:id="rId4" name="CheckBox_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247650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5" name="OptionButton_6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247650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6" name="CheckBox_7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247650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7" name="OptionButton_7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247650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8" name="CheckBox_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247650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9" name="OptionButton_8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247650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10" name="CheckBox_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11" name="OptionButton_9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12" name="CheckBox_1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247650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13" name="OptionButton_10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247650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14" name="CheckBox_1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247650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15" name="OptionButton_11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247650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16" name="CheckBox_1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247650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17" name="OptionButton_1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247650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18" name="CheckBox_1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19" name="OptionButton_1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0" name="CheckBox_1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247650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1" name="OptionButton_1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247650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2" name="CheckBox_1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247650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3" name="OptionButton_1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247650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4" name="CheckBox_1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247650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5" name="OptionButton_1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247650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6" name="CheckBox_1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247650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7" name="OptionButton_1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247650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" name="CheckBox_1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247650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" name="OptionButton_1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247650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30" name="CheckBox_1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247650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31" name="OptionButton_1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247650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32" name="CheckBox_2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247650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33" name="OptionButton_2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247650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4" name="CheckBox_2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247650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5" name="CheckBox_22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247650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6" name="CheckBox_2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247650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7" name="OptionButton_2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247650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8" name="CheckBox_2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247650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9" name="CheckBox_2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247650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40" name="OptionButton_2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247650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41" name="CheckBox_26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247650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42" name="OptionButton_2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247650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43" name="CheckBox_27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247650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44" name="OptionButton_2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247650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45" name="CheckBox_28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247650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46" name="OptionButton_2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247650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47" name="CheckBox_29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247650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48" name="OptionButton_2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247650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49" name="CheckBox_30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247650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50" name="OptionButton_3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3</xdr:col>
                    <xdr:colOff>247650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51" name="CheckBox_31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247650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52" name="OptionButton_3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247650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53" name="CheckBox_32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247650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54" name="OptionButton_3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3</xdr:col>
                    <xdr:colOff>247650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55" name="CheckBox_33">
              <controlPr defaultSize="0" autoFill="0" autoLine="0" autoPict="0">
                <anchor moveWithCells="1">
                  <from>
                    <xdr:col>2</xdr:col>
                    <xdr:colOff>0</xdr:colOff>
                    <xdr:row>32</xdr:row>
                    <xdr:rowOff>0</xdr:rowOff>
                  </from>
                  <to>
                    <xdr:col>2</xdr:col>
                    <xdr:colOff>247650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56" name="OptionButton_3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247650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57" name="CheckBox_34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2</xdr:col>
                    <xdr:colOff>247650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58" name="OptionButton_3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3</xdr:col>
                    <xdr:colOff>247650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59" name="CheckBox_35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2</xdr:col>
                    <xdr:colOff>247650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60" name="OptionButton_3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247650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61" name="CheckBox_36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2</xdr:col>
                    <xdr:colOff>247650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62" name="OptionButton_3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3</xdr:col>
                    <xdr:colOff>247650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Box_37">
              <controlPr defaultSize="0" autoFill="0" autoLin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2</xdr:col>
                    <xdr:colOff>247650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OptionButton_3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247650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65" name="CheckBox_38">
              <controlPr defaultSize="0" autoFill="0" autoLin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2</xdr:col>
                    <xdr:colOff>247650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6" name="OptionButton_3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3</xdr:col>
                    <xdr:colOff>247650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67" name="CheckBox_39">
              <controlPr defaultSize="0" autoFill="0" autoLin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2</xdr:col>
                    <xdr:colOff>247650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68" name="OptionButton_3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247650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69" name="CheckBox_40">
              <controlPr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2</xdr:col>
                    <xdr:colOff>247650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70" name="OptionButton_4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3</xdr:col>
                    <xdr:colOff>247650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71" name="OptionButton_2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247650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72" name="OptionButton_2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247650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73" name="OptionButton_2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247650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4" name="CheckBox_41">
              <controlPr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2</xdr:col>
                    <xdr:colOff>247650</xdr:colOff>
                    <xdr:row>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5" name="OptionButton_41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247650</xdr:colOff>
                    <xdr:row>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76" name="CheckBox_42">
              <controlPr defaultSize="0" autoFill="0" autoLine="0" autoPict="0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2</xdr:col>
                    <xdr:colOff>247650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77" name="OptionButton_42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3</xdr:col>
                    <xdr:colOff>247650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78" name="CheckBox_43">
              <controlPr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0</xdr:rowOff>
                  </from>
                  <to>
                    <xdr:col>2</xdr:col>
                    <xdr:colOff>247650</xdr:colOff>
                    <xdr:row>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79" name="OptionButton_43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247650</xdr:colOff>
                    <xdr:row>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80" name="CheckBox_44">
              <controlPr defaultSize="0" autoFill="0" autoLine="0" autoPict="0">
                <anchor moveWithCells="1">
                  <from>
                    <xdr:col>2</xdr:col>
                    <xdr:colOff>0</xdr:colOff>
                    <xdr:row>43</xdr:row>
                    <xdr:rowOff>0</xdr:rowOff>
                  </from>
                  <to>
                    <xdr:col>2</xdr:col>
                    <xdr:colOff>247650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81" name="OptionButton_44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3</xdr:col>
                    <xdr:colOff>247650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82" name="CheckBox_45">
              <controlPr defaultSize="0" autoFill="0" autoLine="0" autoPict="0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2</xdr:col>
                    <xdr:colOff>247650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83" name="OptionButton_45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247650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84" name="CheckBox_46">
              <controlPr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2</xdr:col>
                    <xdr:colOff>247650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85" name="OptionButton_46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3</xdr:col>
                    <xdr:colOff>247650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86" name="CheckBox_47">
              <controlPr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2</xdr:col>
                    <xdr:colOff>247650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87" name="OptionButton_47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247650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88" name="CheckBox_48">
              <controlPr defaultSize="0" autoFill="0" autoLine="0" autoPict="0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2</xdr:col>
                    <xdr:colOff>247650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89" name="OptionButton_48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3</xdr:col>
                    <xdr:colOff>247650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90" name="CheckBox_49">
              <controlPr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2</xdr:col>
                    <xdr:colOff>247650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91" name="OptionButton_49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247650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92" name="CheckBox_50">
              <controlPr defaultSize="0" autoFill="0" autoLine="0" autoPict="0">
                <anchor moveWithCells="1">
                  <from>
                    <xdr:col>2</xdr:col>
                    <xdr:colOff>0</xdr:colOff>
                    <xdr:row>49</xdr:row>
                    <xdr:rowOff>0</xdr:rowOff>
                  </from>
                  <to>
                    <xdr:col>2</xdr:col>
                    <xdr:colOff>247650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93" name="OptionButton_50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3</xdr:col>
                    <xdr:colOff>247650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94" name="CheckBox_51">
              <controlPr defaultSize="0" autoFill="0" autoLine="0" autoPict="0">
                <anchor mov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2</xdr:col>
                    <xdr:colOff>247650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95" name="OptionButton_51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247650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96" name="CheckBox_52">
              <controlPr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2</xdr:col>
                    <xdr:colOff>247650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97" name="OptionButton_52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3</xdr:col>
                    <xdr:colOff>247650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" r:id="rId98" name="CheckBox_53">
              <controlPr defaultSize="0" autoFill="0" autoLine="0" autoPict="0">
                <anchor moveWithCells="1">
                  <from>
                    <xdr:col>2</xdr:col>
                    <xdr:colOff>0</xdr:colOff>
                    <xdr:row>52</xdr:row>
                    <xdr:rowOff>0</xdr:rowOff>
                  </from>
                  <to>
                    <xdr:col>2</xdr:col>
                    <xdr:colOff>247650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99" name="OptionButton_53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247650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100" name="CheckBox_54">
              <controlPr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0</xdr:rowOff>
                  </from>
                  <to>
                    <xdr:col>2</xdr:col>
                    <xdr:colOff>247650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7" r:id="rId101" name="OptionButton_54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3</xdr:col>
                    <xdr:colOff>247650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102" name="OptionGroupBox_1">
              <controlPr defaultSiz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238125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103" name="ExecuteComboBox_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18</xdr:col>
                    <xdr:colOff>3429000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104" name="ExecuteButton_1">
              <controlPr defaultSize="0" print="0" autoFill="0" autoPict="0" macro="[0]!Sheet1.ExeButtonClick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105" name="ResetButton_1">
              <controlPr defaultSize="0" print="0" autoFill="0" autoPict="0" macro="[0]!Sheet1.PrepareSheet">
                <anchor moveWithCells="1" sizeWithCells="1">
                  <from>
                    <xdr:col>18</xdr:col>
                    <xdr:colOff>3429000</xdr:colOff>
                    <xdr:row>2</xdr:row>
                    <xdr:rowOff>0</xdr:rowOff>
                  </from>
                  <to>
                    <xdr:col>18</xdr:col>
                    <xdr:colOff>4124325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106" name="RecalculateButton_1">
              <controlPr defaultSize="0" print="0" autoFill="0" autoPict="0" macro="[0]!Sheet1.RecalculateSheet">
                <anchor moveWithCells="1" sizeWithCells="1">
                  <from>
                    <xdr:col>18</xdr:col>
                    <xdr:colOff>4124325</xdr:colOff>
                    <xdr:row>2</xdr:row>
                    <xdr:rowOff>0</xdr:rowOff>
                  </from>
                  <to>
                    <xdr:col>19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dcterms:created xsi:type="dcterms:W3CDTF">2015-06-05T18:19:34Z</dcterms:created>
  <dcterms:modified xsi:type="dcterms:W3CDTF">2025-04-06T18:28:02Z</dcterms:modified>
</cp:coreProperties>
</file>