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MyGitHub\h16k148\wbs-template-xlsm\"/>
    </mc:Choice>
  </mc:AlternateContent>
  <xr:revisionPtr revIDLastSave="0" documentId="13_ncr:1_{5BD313DD-C0DC-4E2F-9BED-354E9A5FF744}" xr6:coauthVersionLast="47" xr6:coauthVersionMax="47" xr10:uidLastSave="{00000000-0000-0000-0000-000000000000}"/>
  <bookViews>
    <workbookView xWindow="6864" yWindow="-23976" windowWidth="37512" windowHeight="20748" xr2:uid="{00000000-000D-0000-FFFF-FFFF00000000}"/>
  </bookViews>
  <sheets>
    <sheet name="WBS-Template" sheetId="25" r:id="rId1"/>
  </sheets>
  <functionGroups builtInGroupCount="19"/>
  <definedNames>
    <definedName name="_xlnm._FilterDatabase" localSheetId="0" hidden="1">'WBS-Template'!$E$7:$AQ$218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25" l="1"/>
  <c r="O8" i="25"/>
  <c r="N9" i="25"/>
  <c r="O9" i="25"/>
  <c r="N10" i="25"/>
  <c r="O10" i="25"/>
  <c r="N11" i="25"/>
  <c r="O11" i="25"/>
  <c r="N12" i="25"/>
  <c r="O12" i="25"/>
  <c r="N13" i="25"/>
  <c r="O13" i="25"/>
  <c r="N14" i="25"/>
  <c r="O14" i="25"/>
  <c r="N15" i="25"/>
  <c r="O15" i="25"/>
  <c r="N16" i="25"/>
  <c r="O16" i="25"/>
  <c r="N17" i="25"/>
  <c r="O17" i="25"/>
  <c r="N18" i="25"/>
  <c r="O18" i="25"/>
  <c r="N19" i="25"/>
  <c r="O19" i="25"/>
  <c r="N20" i="25"/>
  <c r="O20" i="25"/>
  <c r="N21" i="25"/>
  <c r="O21" i="25"/>
  <c r="N22" i="25"/>
  <c r="O22" i="25"/>
  <c r="N23" i="25"/>
  <c r="O23" i="25"/>
  <c r="N24" i="25"/>
  <c r="O24" i="25"/>
  <c r="N25" i="25"/>
  <c r="O25" i="25"/>
  <c r="N26" i="25"/>
  <c r="O26" i="25"/>
  <c r="N27" i="25"/>
  <c r="O27" i="25"/>
  <c r="N28" i="25"/>
  <c r="O28" i="25"/>
  <c r="N29" i="25"/>
  <c r="O29" i="25"/>
  <c r="N30" i="25"/>
  <c r="O30" i="25"/>
  <c r="N31" i="25"/>
  <c r="O31" i="25"/>
  <c r="N32" i="25"/>
  <c r="O32" i="25"/>
  <c r="N33" i="25"/>
  <c r="O33" i="25"/>
  <c r="N34" i="25"/>
  <c r="O34" i="25"/>
  <c r="N35" i="25"/>
  <c r="O35" i="25"/>
  <c r="N36" i="25"/>
  <c r="O36" i="25"/>
  <c r="N37" i="25"/>
  <c r="O37" i="25"/>
  <c r="N38" i="25"/>
  <c r="O38" i="25"/>
  <c r="N39" i="25"/>
  <c r="O39" i="25"/>
  <c r="N40" i="25"/>
  <c r="O40" i="25"/>
  <c r="N41" i="25"/>
  <c r="O41" i="25"/>
  <c r="N42" i="25"/>
  <c r="O42" i="25"/>
  <c r="N43" i="25"/>
  <c r="O43" i="25"/>
  <c r="N44" i="25"/>
  <c r="O44" i="25"/>
  <c r="N45" i="25"/>
  <c r="O45" i="25"/>
  <c r="N46" i="25"/>
  <c r="O46" i="25"/>
  <c r="N47" i="25"/>
  <c r="O47" i="25"/>
  <c r="N48" i="25"/>
  <c r="O48" i="25"/>
  <c r="N49" i="25"/>
  <c r="O49" i="25"/>
  <c r="N50" i="25"/>
  <c r="O50" i="25"/>
  <c r="N51" i="25"/>
  <c r="O51" i="25"/>
  <c r="N52" i="25"/>
  <c r="O52" i="25"/>
  <c r="N53" i="25"/>
  <c r="O53" i="25"/>
  <c r="N54" i="25"/>
  <c r="O54" i="25"/>
  <c r="N55" i="25"/>
  <c r="O55" i="25"/>
  <c r="N56" i="25"/>
  <c r="O56" i="25"/>
  <c r="N57" i="25"/>
  <c r="O57" i="25"/>
  <c r="N58" i="25"/>
  <c r="O58" i="25"/>
  <c r="N59" i="25"/>
  <c r="O59" i="25"/>
  <c r="N60" i="25"/>
  <c r="O60" i="25"/>
  <c r="N61" i="25"/>
  <c r="O61" i="25"/>
  <c r="N62" i="25"/>
  <c r="O62" i="25"/>
  <c r="N63" i="25"/>
  <c r="O63" i="25"/>
  <c r="N64" i="25"/>
  <c r="O64" i="25"/>
  <c r="N65" i="25"/>
  <c r="O65" i="25"/>
  <c r="N66" i="25"/>
  <c r="O66" i="25"/>
  <c r="N67" i="25"/>
  <c r="O67" i="25"/>
  <c r="N68" i="25"/>
  <c r="O68" i="25"/>
  <c r="N69" i="25"/>
  <c r="O69" i="25"/>
  <c r="N70" i="25"/>
  <c r="O70" i="25"/>
  <c r="N71" i="25"/>
  <c r="O71" i="25"/>
  <c r="N72" i="25"/>
  <c r="O72" i="25"/>
  <c r="N73" i="25"/>
  <c r="O73" i="25"/>
  <c r="N74" i="25"/>
  <c r="O74" i="25"/>
  <c r="N75" i="25"/>
  <c r="O75" i="25"/>
  <c r="N76" i="25"/>
  <c r="O76" i="25"/>
  <c r="N77" i="25"/>
  <c r="O77" i="25"/>
  <c r="N78" i="25"/>
  <c r="O78" i="25"/>
  <c r="N79" i="25"/>
  <c r="O79" i="25"/>
  <c r="N80" i="25"/>
  <c r="O80" i="25"/>
  <c r="N81" i="25"/>
  <c r="O81" i="25"/>
  <c r="N82" i="25"/>
  <c r="O82" i="25"/>
  <c r="N83" i="25"/>
  <c r="O83" i="25"/>
  <c r="N84" i="25"/>
  <c r="O84" i="25"/>
  <c r="N85" i="25"/>
  <c r="O85" i="25"/>
  <c r="N86" i="25"/>
  <c r="O86" i="25"/>
  <c r="N87" i="25"/>
  <c r="O87" i="25"/>
  <c r="N88" i="25"/>
  <c r="O88" i="25"/>
  <c r="N89" i="25"/>
  <c r="O89" i="25"/>
  <c r="N90" i="25"/>
  <c r="O90" i="25"/>
  <c r="N91" i="25"/>
  <c r="O91" i="25"/>
  <c r="N92" i="25"/>
  <c r="O92" i="25"/>
  <c r="N93" i="25"/>
  <c r="O93" i="25"/>
  <c r="N94" i="25"/>
  <c r="O94" i="25"/>
  <c r="N95" i="25"/>
  <c r="O95" i="25"/>
  <c r="N96" i="25"/>
  <c r="O96" i="25"/>
  <c r="N97" i="25"/>
  <c r="O97" i="25"/>
  <c r="N98" i="25"/>
  <c r="O98" i="25"/>
  <c r="N99" i="25"/>
  <c r="O99" i="25"/>
  <c r="N100" i="25"/>
  <c r="O100" i="25"/>
  <c r="N101" i="25"/>
  <c r="O101" i="25"/>
  <c r="N102" i="25"/>
  <c r="O102" i="25"/>
  <c r="N103" i="25"/>
  <c r="O103" i="25"/>
  <c r="N104" i="25"/>
  <c r="O104" i="25"/>
  <c r="N105" i="25"/>
  <c r="O105" i="25"/>
  <c r="N106" i="25"/>
  <c r="O106" i="25"/>
  <c r="N107" i="25"/>
  <c r="O107" i="25"/>
  <c r="N108" i="25"/>
  <c r="O108" i="25"/>
  <c r="N109" i="25"/>
  <c r="O109" i="25"/>
  <c r="N110" i="25"/>
  <c r="O110" i="25"/>
  <c r="N111" i="25"/>
  <c r="O111" i="25"/>
  <c r="N112" i="25"/>
  <c r="O112" i="25"/>
  <c r="N113" i="25"/>
  <c r="O113" i="25"/>
  <c r="N114" i="25"/>
  <c r="O114" i="25"/>
  <c r="N115" i="25"/>
  <c r="O115" i="25"/>
  <c r="N116" i="25"/>
  <c r="O116" i="25"/>
  <c r="N117" i="25"/>
  <c r="O117" i="25"/>
  <c r="N118" i="25"/>
  <c r="O118" i="25"/>
  <c r="N119" i="25"/>
  <c r="O119" i="25"/>
  <c r="N120" i="25"/>
  <c r="O120" i="25"/>
  <c r="N121" i="25"/>
  <c r="O121" i="25"/>
  <c r="N122" i="25"/>
  <c r="O122" i="25"/>
  <c r="N123" i="25"/>
  <c r="O123" i="25"/>
  <c r="N124" i="25"/>
  <c r="O124" i="25"/>
  <c r="N125" i="25"/>
  <c r="O125" i="25"/>
  <c r="N126" i="25"/>
  <c r="O126" i="25"/>
  <c r="N127" i="25"/>
  <c r="O127" i="25"/>
  <c r="N128" i="25"/>
  <c r="O128" i="25"/>
  <c r="N129" i="25"/>
  <c r="O129" i="25"/>
  <c r="N130" i="25"/>
  <c r="O130" i="25"/>
  <c r="N131" i="25"/>
  <c r="O131" i="25"/>
  <c r="N132" i="25"/>
  <c r="O132" i="25"/>
  <c r="N133" i="25"/>
  <c r="O133" i="25"/>
  <c r="N134" i="25"/>
  <c r="O134" i="25"/>
  <c r="N135" i="25"/>
  <c r="O135" i="25"/>
  <c r="N136" i="25"/>
  <c r="O136" i="25"/>
  <c r="N137" i="25"/>
  <c r="O137" i="25"/>
  <c r="N138" i="25"/>
  <c r="O138" i="25"/>
  <c r="N139" i="25"/>
  <c r="O139" i="25"/>
  <c r="N140" i="25"/>
  <c r="O140" i="25"/>
  <c r="N141" i="25"/>
  <c r="O141" i="25"/>
  <c r="N142" i="25"/>
  <c r="O142" i="25"/>
  <c r="N143" i="25"/>
  <c r="O143" i="25"/>
  <c r="N144" i="25"/>
  <c r="O144" i="25"/>
  <c r="N145" i="25"/>
  <c r="O145" i="25"/>
  <c r="N146" i="25"/>
  <c r="O146" i="25"/>
  <c r="N147" i="25"/>
  <c r="O147" i="25"/>
  <c r="N148" i="25"/>
  <c r="O148" i="25"/>
  <c r="N149" i="25"/>
  <c r="O149" i="25"/>
  <c r="N150" i="25"/>
  <c r="O150" i="25"/>
  <c r="N151" i="25"/>
  <c r="O151" i="25"/>
  <c r="N152" i="25"/>
  <c r="O152" i="25"/>
  <c r="N153" i="25"/>
  <c r="O153" i="25"/>
  <c r="N154" i="25"/>
  <c r="O154" i="25"/>
  <c r="N155" i="25"/>
  <c r="O155" i="25"/>
  <c r="N156" i="25"/>
  <c r="O156" i="25"/>
  <c r="N157" i="25"/>
  <c r="O157" i="25"/>
  <c r="N158" i="25"/>
  <c r="O158" i="25"/>
  <c r="N159" i="25"/>
  <c r="O159" i="25"/>
  <c r="N160" i="25"/>
  <c r="O160" i="25"/>
  <c r="N161" i="25"/>
  <c r="O161" i="25"/>
  <c r="N162" i="25"/>
  <c r="O162" i="25"/>
  <c r="N163" i="25"/>
  <c r="O163" i="25"/>
  <c r="N164" i="25"/>
  <c r="O164" i="25"/>
  <c r="N165" i="25"/>
  <c r="O165" i="25"/>
  <c r="N166" i="25"/>
  <c r="O166" i="25"/>
  <c r="N167" i="25"/>
  <c r="O167" i="25"/>
  <c r="N168" i="25"/>
  <c r="O168" i="25"/>
  <c r="N169" i="25"/>
  <c r="O169" i="25"/>
  <c r="N170" i="25"/>
  <c r="O170" i="25"/>
  <c r="N171" i="25"/>
  <c r="O171" i="25"/>
  <c r="N172" i="25"/>
  <c r="O172" i="25"/>
  <c r="N173" i="25"/>
  <c r="O173" i="25"/>
  <c r="N174" i="25"/>
  <c r="O174" i="25"/>
  <c r="N175" i="25"/>
  <c r="O175" i="25"/>
  <c r="N176" i="25"/>
  <c r="O176" i="25"/>
  <c r="N177" i="25"/>
  <c r="O177" i="25"/>
  <c r="N178" i="25"/>
  <c r="O178" i="25"/>
  <c r="N179" i="25"/>
  <c r="O179" i="25"/>
  <c r="N180" i="25"/>
  <c r="O180" i="25"/>
  <c r="N181" i="25"/>
  <c r="O181" i="25"/>
  <c r="N182" i="25"/>
  <c r="O182" i="25"/>
  <c r="N183" i="25"/>
  <c r="O183" i="25"/>
  <c r="N184" i="25"/>
  <c r="O184" i="25"/>
  <c r="N185" i="25"/>
  <c r="O185" i="25"/>
  <c r="N186" i="25"/>
  <c r="O186" i="25"/>
  <c r="N187" i="25"/>
  <c r="O187" i="25"/>
  <c r="N188" i="25"/>
  <c r="O188" i="25"/>
  <c r="N189" i="25"/>
  <c r="O189" i="25"/>
  <c r="N190" i="25"/>
  <c r="O190" i="25"/>
  <c r="N191" i="25"/>
  <c r="O191" i="25"/>
  <c r="N192" i="25"/>
  <c r="O192" i="25"/>
  <c r="N193" i="25"/>
  <c r="O193" i="25"/>
  <c r="N194" i="25"/>
  <c r="O194" i="25"/>
  <c r="N195" i="25"/>
  <c r="O195" i="25"/>
  <c r="N196" i="25"/>
  <c r="O196" i="25"/>
  <c r="N197" i="25"/>
  <c r="O197" i="25"/>
  <c r="N198" i="25"/>
  <c r="O198" i="25"/>
  <c r="N199" i="25"/>
  <c r="O199" i="25"/>
  <c r="N200" i="25"/>
  <c r="O200" i="25"/>
  <c r="N201" i="25"/>
  <c r="O201" i="25"/>
  <c r="N202" i="25"/>
  <c r="O202" i="25"/>
  <c r="N203" i="25"/>
  <c r="O203" i="25"/>
  <c r="N204" i="25"/>
  <c r="O204" i="25"/>
  <c r="N205" i="25"/>
  <c r="O205" i="25"/>
  <c r="N206" i="25"/>
  <c r="O206" i="25"/>
  <c r="N207" i="25"/>
  <c r="O207" i="25"/>
  <c r="N208" i="25"/>
  <c r="O208" i="25"/>
  <c r="N209" i="25"/>
  <c r="O209" i="25"/>
  <c r="N210" i="25"/>
  <c r="O210" i="25"/>
  <c r="N211" i="25"/>
  <c r="O211" i="25"/>
  <c r="N212" i="25"/>
  <c r="O212" i="25"/>
  <c r="N213" i="25"/>
  <c r="O213" i="25"/>
  <c r="N214" i="25"/>
  <c r="O214" i="25"/>
  <c r="N215" i="25"/>
  <c r="O215" i="25"/>
  <c r="N216" i="25"/>
  <c r="O216" i="25"/>
  <c r="N217" i="25"/>
  <c r="O217" i="25"/>
  <c r="N218" i="25"/>
  <c r="O218" i="25"/>
  <c r="K8" i="25"/>
  <c r="K10" i="25"/>
  <c r="K12" i="25"/>
  <c r="K14" i="25"/>
  <c r="K16" i="25"/>
  <c r="K18" i="25"/>
  <c r="K20" i="25"/>
  <c r="K22" i="25"/>
  <c r="K24" i="25"/>
  <c r="K9" i="25"/>
  <c r="K11" i="25"/>
  <c r="K13" i="25"/>
  <c r="K15" i="25"/>
  <c r="K17" i="25"/>
  <c r="K19" i="25"/>
  <c r="K21" i="25"/>
  <c r="K23" i="25"/>
  <c r="K25" i="25"/>
  <c r="M11" i="25"/>
  <c r="R26" i="25"/>
  <c r="M32" i="25"/>
  <c r="R34" i="25"/>
  <c r="M40" i="25"/>
  <c r="R42" i="25"/>
  <c r="M48" i="25"/>
  <c r="M53" i="25"/>
  <c r="K65" i="25"/>
  <c r="R71" i="25"/>
  <c r="K81" i="25"/>
  <c r="R87" i="25"/>
  <c r="K97" i="25"/>
  <c r="R103" i="25"/>
  <c r="K113" i="25"/>
  <c r="R121" i="25"/>
  <c r="K124" i="25"/>
  <c r="M128" i="25"/>
  <c r="R136" i="25"/>
  <c r="K139" i="25"/>
  <c r="M143" i="25"/>
  <c r="R153" i="25"/>
  <c r="K156" i="25"/>
  <c r="M160" i="25"/>
  <c r="R168" i="25"/>
  <c r="K171" i="25"/>
  <c r="M175" i="25"/>
  <c r="M158" i="25"/>
  <c r="K169" i="25"/>
  <c r="M173" i="25"/>
  <c r="M8" i="25"/>
  <c r="R17" i="25"/>
  <c r="R20" i="25"/>
  <c r="M24" i="25"/>
  <c r="K27" i="25"/>
  <c r="R29" i="25"/>
  <c r="K35" i="25"/>
  <c r="R37" i="25"/>
  <c r="K43" i="25"/>
  <c r="R45" i="25"/>
  <c r="R50" i="25"/>
  <c r="R55" i="25"/>
  <c r="M58" i="25"/>
  <c r="R62" i="25"/>
  <c r="M65" i="25"/>
  <c r="K72" i="25"/>
  <c r="M74" i="25"/>
  <c r="R78" i="25"/>
  <c r="M81" i="25"/>
  <c r="K88" i="25"/>
  <c r="M90" i="25"/>
  <c r="R94" i="25"/>
  <c r="M97" i="25"/>
  <c r="K104" i="25"/>
  <c r="M106" i="25"/>
  <c r="R110" i="25"/>
  <c r="M113" i="25"/>
  <c r="R119" i="25"/>
  <c r="K122" i="25"/>
  <c r="M126" i="25"/>
  <c r="R134" i="25"/>
  <c r="K137" i="25"/>
  <c r="M141" i="25"/>
  <c r="R151" i="25"/>
  <c r="K154" i="25"/>
  <c r="R166" i="25"/>
  <c r="M21" i="25"/>
  <c r="M27" i="25"/>
  <c r="K30" i="25"/>
  <c r="M35" i="25"/>
  <c r="K38" i="25"/>
  <c r="M43" i="25"/>
  <c r="K46" i="25"/>
  <c r="K51" i="25"/>
  <c r="K56" i="25"/>
  <c r="K63" i="25"/>
  <c r="R69" i="25"/>
  <c r="K79" i="25"/>
  <c r="R85" i="25"/>
  <c r="K95" i="25"/>
  <c r="R101" i="25"/>
  <c r="K111" i="25"/>
  <c r="R117" i="25"/>
  <c r="K120" i="25"/>
  <c r="M124" i="25"/>
  <c r="R132" i="25"/>
  <c r="K135" i="25"/>
  <c r="M139" i="25"/>
  <c r="R149" i="25"/>
  <c r="K152" i="25"/>
  <c r="M156" i="25"/>
  <c r="R164" i="25"/>
  <c r="K167" i="25"/>
  <c r="M171" i="25"/>
  <c r="K178" i="25"/>
  <c r="K186" i="25"/>
  <c r="K196" i="25"/>
  <c r="K204" i="25"/>
  <c r="K208" i="25"/>
  <c r="K216" i="25"/>
  <c r="M206" i="25"/>
  <c r="M195" i="25"/>
  <c r="M215" i="25"/>
  <c r="R11" i="25"/>
  <c r="R14" i="25"/>
  <c r="M18" i="25"/>
  <c r="M51" i="25"/>
  <c r="R60" i="25"/>
  <c r="M63" i="25"/>
  <c r="K70" i="25"/>
  <c r="M72" i="25"/>
  <c r="R76" i="25"/>
  <c r="M79" i="25"/>
  <c r="K86" i="25"/>
  <c r="M88" i="25"/>
  <c r="R92" i="25"/>
  <c r="M95" i="25"/>
  <c r="K102" i="25"/>
  <c r="M104" i="25"/>
  <c r="R108" i="25"/>
  <c r="M111" i="25"/>
  <c r="K118" i="25"/>
  <c r="M122" i="25"/>
  <c r="R130" i="25"/>
  <c r="K133" i="25"/>
  <c r="M137" i="25"/>
  <c r="R147" i="25"/>
  <c r="K150" i="25"/>
  <c r="M154" i="25"/>
  <c r="R162" i="25"/>
  <c r="K165" i="25"/>
  <c r="M169" i="25"/>
  <c r="K180" i="25"/>
  <c r="K190" i="25"/>
  <c r="K198" i="25"/>
  <c r="K206" i="25"/>
  <c r="K214" i="25"/>
  <c r="M210" i="25"/>
  <c r="R96" i="25"/>
  <c r="R155" i="25"/>
  <c r="M187" i="25"/>
  <c r="M15" i="25"/>
  <c r="M30" i="25"/>
  <c r="R32" i="25"/>
  <c r="M38" i="25"/>
  <c r="R40" i="25"/>
  <c r="M46" i="25"/>
  <c r="R48" i="25"/>
  <c r="R53" i="25"/>
  <c r="M56" i="25"/>
  <c r="K61" i="25"/>
  <c r="R67" i="25"/>
  <c r="K77" i="25"/>
  <c r="R83" i="25"/>
  <c r="K93" i="25"/>
  <c r="R99" i="25"/>
  <c r="K109" i="25"/>
  <c r="R115" i="25"/>
  <c r="M120" i="25"/>
  <c r="R128" i="25"/>
  <c r="K131" i="25"/>
  <c r="M135" i="25"/>
  <c r="R145" i="25"/>
  <c r="K148" i="25"/>
  <c r="M152" i="25"/>
  <c r="R160" i="25"/>
  <c r="K163" i="25"/>
  <c r="M167" i="25"/>
  <c r="R177" i="25"/>
  <c r="R179" i="25"/>
  <c r="R181" i="25"/>
  <c r="R183" i="25"/>
  <c r="R185" i="25"/>
  <c r="R187" i="25"/>
  <c r="R189" i="25"/>
  <c r="R191" i="25"/>
  <c r="R193" i="25"/>
  <c r="R195" i="25"/>
  <c r="R197" i="25"/>
  <c r="R199" i="25"/>
  <c r="R201" i="25"/>
  <c r="R203" i="25"/>
  <c r="R205" i="25"/>
  <c r="R207" i="25"/>
  <c r="R209" i="25"/>
  <c r="R211" i="25"/>
  <c r="R213" i="25"/>
  <c r="R215" i="25"/>
  <c r="R217" i="25"/>
  <c r="R158" i="25"/>
  <c r="M165" i="25"/>
  <c r="R175" i="25"/>
  <c r="K182" i="25"/>
  <c r="K188" i="25"/>
  <c r="K194" i="25"/>
  <c r="K202" i="25"/>
  <c r="K210" i="25"/>
  <c r="K218" i="25"/>
  <c r="M214" i="25"/>
  <c r="R112" i="25"/>
  <c r="M177" i="25"/>
  <c r="M193" i="25"/>
  <c r="M209" i="25"/>
  <c r="R8" i="25"/>
  <c r="M12" i="25"/>
  <c r="R21" i="25"/>
  <c r="R24" i="25"/>
  <c r="R27" i="25"/>
  <c r="K33" i="25"/>
  <c r="R35" i="25"/>
  <c r="K41" i="25"/>
  <c r="R43" i="25"/>
  <c r="K49" i="25"/>
  <c r="K54" i="25"/>
  <c r="R58" i="25"/>
  <c r="M61" i="25"/>
  <c r="K68" i="25"/>
  <c r="M70" i="25"/>
  <c r="R74" i="25"/>
  <c r="M77" i="25"/>
  <c r="K84" i="25"/>
  <c r="M86" i="25"/>
  <c r="R90" i="25"/>
  <c r="M93" i="25"/>
  <c r="K100" i="25"/>
  <c r="M102" i="25"/>
  <c r="R106" i="25"/>
  <c r="M109" i="25"/>
  <c r="K116" i="25"/>
  <c r="M118" i="25"/>
  <c r="R126" i="25"/>
  <c r="K129" i="25"/>
  <c r="M133" i="25"/>
  <c r="R143" i="25"/>
  <c r="K146" i="25"/>
  <c r="M150" i="25"/>
  <c r="K161" i="25"/>
  <c r="K184" i="25"/>
  <c r="K192" i="25"/>
  <c r="K200" i="25"/>
  <c r="K212" i="25"/>
  <c r="M216" i="25"/>
  <c r="M181" i="25"/>
  <c r="M203" i="25"/>
  <c r="M9" i="25"/>
  <c r="M25" i="25"/>
  <c r="K28" i="25"/>
  <c r="M33" i="25"/>
  <c r="K36" i="25"/>
  <c r="M41" i="25"/>
  <c r="K44" i="25"/>
  <c r="M49" i="25"/>
  <c r="K59" i="25"/>
  <c r="R65" i="25"/>
  <c r="K75" i="25"/>
  <c r="R81" i="25"/>
  <c r="K91" i="25"/>
  <c r="R97" i="25"/>
  <c r="K107" i="25"/>
  <c r="R113" i="25"/>
  <c r="R124" i="25"/>
  <c r="K127" i="25"/>
  <c r="M131" i="25"/>
  <c r="R141" i="25"/>
  <c r="K144" i="25"/>
  <c r="M148" i="25"/>
  <c r="R156" i="25"/>
  <c r="K159" i="25"/>
  <c r="M163" i="25"/>
  <c r="R173" i="25"/>
  <c r="K176" i="25"/>
  <c r="R88" i="25"/>
  <c r="R104" i="25"/>
  <c r="M107" i="25"/>
  <c r="K114" i="25"/>
  <c r="M116" i="25"/>
  <c r="R122" i="25"/>
  <c r="K125" i="25"/>
  <c r="M129" i="25"/>
  <c r="R154" i="25"/>
  <c r="K157" i="25"/>
  <c r="M161" i="25"/>
  <c r="M180" i="25"/>
  <c r="M184" i="25"/>
  <c r="M188" i="25"/>
  <c r="M192" i="25"/>
  <c r="M196" i="25"/>
  <c r="M202" i="25"/>
  <c r="M208" i="25"/>
  <c r="K106" i="25"/>
  <c r="R138" i="25"/>
  <c r="M185" i="25"/>
  <c r="M199" i="25"/>
  <c r="R15" i="25"/>
  <c r="R18" i="25"/>
  <c r="M22" i="25"/>
  <c r="R51" i="25"/>
  <c r="M54" i="25"/>
  <c r="M59" i="25"/>
  <c r="K66" i="25"/>
  <c r="M68" i="25"/>
  <c r="R72" i="25"/>
  <c r="M75" i="25"/>
  <c r="K82" i="25"/>
  <c r="M84" i="25"/>
  <c r="M91" i="25"/>
  <c r="K98" i="25"/>
  <c r="M100" i="25"/>
  <c r="R139" i="25"/>
  <c r="K142" i="25"/>
  <c r="M146" i="25"/>
  <c r="R171" i="25"/>
  <c r="K174" i="25"/>
  <c r="M178" i="25"/>
  <c r="M182" i="25"/>
  <c r="M186" i="25"/>
  <c r="M190" i="25"/>
  <c r="M194" i="25"/>
  <c r="M198" i="25"/>
  <c r="M200" i="25"/>
  <c r="M204" i="25"/>
  <c r="M212" i="25"/>
  <c r="M218" i="25"/>
  <c r="M108" i="25"/>
  <c r="M201" i="25"/>
  <c r="M19" i="25"/>
  <c r="M28" i="25"/>
  <c r="R30" i="25"/>
  <c r="M36" i="25"/>
  <c r="R38" i="25"/>
  <c r="M44" i="25"/>
  <c r="R46" i="25"/>
  <c r="K52" i="25"/>
  <c r="R56" i="25"/>
  <c r="R63" i="25"/>
  <c r="K73" i="25"/>
  <c r="R79" i="25"/>
  <c r="K89" i="25"/>
  <c r="R95" i="25"/>
  <c r="K105" i="25"/>
  <c r="R111" i="25"/>
  <c r="R120" i="25"/>
  <c r="K123" i="25"/>
  <c r="M127" i="25"/>
  <c r="R137" i="25"/>
  <c r="K140" i="25"/>
  <c r="M144" i="25"/>
  <c r="R152" i="25"/>
  <c r="K155" i="25"/>
  <c r="M159" i="25"/>
  <c r="R169" i="25"/>
  <c r="K172" i="25"/>
  <c r="M176" i="25"/>
  <c r="R170" i="25"/>
  <c r="M211" i="25"/>
  <c r="R9" i="25"/>
  <c r="R12" i="25"/>
  <c r="M16" i="25"/>
  <c r="R25" i="25"/>
  <c r="K31" i="25"/>
  <c r="R33" i="25"/>
  <c r="K39" i="25"/>
  <c r="R41" i="25"/>
  <c r="K47" i="25"/>
  <c r="K57" i="25"/>
  <c r="K64" i="25"/>
  <c r="M66" i="25"/>
  <c r="R70" i="25"/>
  <c r="M73" i="25"/>
  <c r="K80" i="25"/>
  <c r="M82" i="25"/>
  <c r="R86" i="25"/>
  <c r="M89" i="25"/>
  <c r="K96" i="25"/>
  <c r="M98" i="25"/>
  <c r="R102" i="25"/>
  <c r="M105" i="25"/>
  <c r="K112" i="25"/>
  <c r="M114" i="25"/>
  <c r="R118" i="25"/>
  <c r="K121" i="25"/>
  <c r="M125" i="25"/>
  <c r="R135" i="25"/>
  <c r="K138" i="25"/>
  <c r="M142" i="25"/>
  <c r="R150" i="25"/>
  <c r="K153" i="25"/>
  <c r="M157" i="25"/>
  <c r="R167" i="25"/>
  <c r="K170" i="25"/>
  <c r="M174" i="25"/>
  <c r="M13" i="25"/>
  <c r="K26" i="25"/>
  <c r="M31" i="25"/>
  <c r="K34" i="25"/>
  <c r="M39" i="25"/>
  <c r="K42" i="25"/>
  <c r="M47" i="25"/>
  <c r="R49" i="25"/>
  <c r="M52" i="25"/>
  <c r="M57" i="25"/>
  <c r="R61" i="25"/>
  <c r="K71" i="25"/>
  <c r="R77" i="25"/>
  <c r="K87" i="25"/>
  <c r="R93" i="25"/>
  <c r="K103" i="25"/>
  <c r="R109" i="25"/>
  <c r="K119" i="25"/>
  <c r="M123" i="25"/>
  <c r="R133" i="25"/>
  <c r="K136" i="25"/>
  <c r="M140" i="25"/>
  <c r="R148" i="25"/>
  <c r="K151" i="25"/>
  <c r="M155" i="25"/>
  <c r="R165" i="25"/>
  <c r="K168" i="25"/>
  <c r="M172" i="25"/>
  <c r="R178" i="25"/>
  <c r="R188" i="25"/>
  <c r="R194" i="25"/>
  <c r="R200" i="25"/>
  <c r="R206" i="25"/>
  <c r="R212" i="25"/>
  <c r="R218" i="25"/>
  <c r="M191" i="25"/>
  <c r="M213" i="25"/>
  <c r="M10" i="25"/>
  <c r="R19" i="25"/>
  <c r="R22" i="25"/>
  <c r="K50" i="25"/>
  <c r="R54" i="25"/>
  <c r="K62" i="25"/>
  <c r="M64" i="25"/>
  <c r="R68" i="25"/>
  <c r="M71" i="25"/>
  <c r="K78" i="25"/>
  <c r="M80" i="25"/>
  <c r="R84" i="25"/>
  <c r="M87" i="25"/>
  <c r="K94" i="25"/>
  <c r="M96" i="25"/>
  <c r="R100" i="25"/>
  <c r="M103" i="25"/>
  <c r="K110" i="25"/>
  <c r="M112" i="25"/>
  <c r="R116" i="25"/>
  <c r="M121" i="25"/>
  <c r="R131" i="25"/>
  <c r="K134" i="25"/>
  <c r="M138" i="25"/>
  <c r="R146" i="25"/>
  <c r="K149" i="25"/>
  <c r="M153" i="25"/>
  <c r="R163" i="25"/>
  <c r="K166" i="25"/>
  <c r="M170" i="25"/>
  <c r="R180" i="25"/>
  <c r="R186" i="25"/>
  <c r="R192" i="25"/>
  <c r="R198" i="25"/>
  <c r="R202" i="25"/>
  <c r="R208" i="25"/>
  <c r="R214" i="25"/>
  <c r="R80" i="25"/>
  <c r="M23" i="25"/>
  <c r="M26" i="25"/>
  <c r="R28" i="25"/>
  <c r="M34" i="25"/>
  <c r="R36" i="25"/>
  <c r="M42" i="25"/>
  <c r="R44" i="25"/>
  <c r="K55" i="25"/>
  <c r="R59" i="25"/>
  <c r="K69" i="25"/>
  <c r="R75" i="25"/>
  <c r="K85" i="25"/>
  <c r="R91" i="25"/>
  <c r="K101" i="25"/>
  <c r="R107" i="25"/>
  <c r="K117" i="25"/>
  <c r="M119" i="25"/>
  <c r="R129" i="25"/>
  <c r="K132" i="25"/>
  <c r="M136" i="25"/>
  <c r="R144" i="25"/>
  <c r="K147" i="25"/>
  <c r="M151" i="25"/>
  <c r="R161" i="25"/>
  <c r="K164" i="25"/>
  <c r="M168" i="25"/>
  <c r="R176" i="25"/>
  <c r="R182" i="25"/>
  <c r="R184" i="25"/>
  <c r="R190" i="25"/>
  <c r="R196" i="25"/>
  <c r="R204" i="25"/>
  <c r="R210" i="25"/>
  <c r="R216" i="25"/>
  <c r="M92" i="25"/>
  <c r="M183" i="25"/>
  <c r="M207" i="25"/>
  <c r="R13" i="25"/>
  <c r="R16" i="25"/>
  <c r="M20" i="25"/>
  <c r="K29" i="25"/>
  <c r="R31" i="25"/>
  <c r="K37" i="25"/>
  <c r="R39" i="25"/>
  <c r="K45" i="25"/>
  <c r="R47" i="25"/>
  <c r="M50" i="25"/>
  <c r="M55" i="25"/>
  <c r="K60" i="25"/>
  <c r="M62" i="25"/>
  <c r="R66" i="25"/>
  <c r="M69" i="25"/>
  <c r="K76" i="25"/>
  <c r="M78" i="25"/>
  <c r="R82" i="25"/>
  <c r="M85" i="25"/>
  <c r="K92" i="25"/>
  <c r="M94" i="25"/>
  <c r="R98" i="25"/>
  <c r="M101" i="25"/>
  <c r="K108" i="25"/>
  <c r="M110" i="25"/>
  <c r="R114" i="25"/>
  <c r="M117" i="25"/>
  <c r="R127" i="25"/>
  <c r="K130" i="25"/>
  <c r="M134" i="25"/>
  <c r="R142" i="25"/>
  <c r="K145" i="25"/>
  <c r="M149" i="25"/>
  <c r="R159" i="25"/>
  <c r="K162" i="25"/>
  <c r="M166" i="25"/>
  <c r="R174" i="25"/>
  <c r="K177" i="25"/>
  <c r="K179" i="25"/>
  <c r="K181" i="25"/>
  <c r="K183" i="25"/>
  <c r="K185" i="25"/>
  <c r="K187" i="25"/>
  <c r="K189" i="25"/>
  <c r="K191" i="25"/>
  <c r="K193" i="25"/>
  <c r="K195" i="25"/>
  <c r="K197" i="25"/>
  <c r="K199" i="25"/>
  <c r="K201" i="25"/>
  <c r="K203" i="25"/>
  <c r="K205" i="25"/>
  <c r="K207" i="25"/>
  <c r="K209" i="25"/>
  <c r="K211" i="25"/>
  <c r="K213" i="25"/>
  <c r="K215" i="25"/>
  <c r="K217" i="25"/>
  <c r="M67" i="25"/>
  <c r="R123" i="25"/>
  <c r="M130" i="25"/>
  <c r="K141" i="25"/>
  <c r="K158" i="25"/>
  <c r="K173" i="25"/>
  <c r="M189" i="25"/>
  <c r="M205" i="25"/>
  <c r="M17" i="25"/>
  <c r="M29" i="25"/>
  <c r="K32" i="25"/>
  <c r="M37" i="25"/>
  <c r="K40" i="25"/>
  <c r="M45" i="25"/>
  <c r="K48" i="25"/>
  <c r="R52" i="25"/>
  <c r="R57" i="25"/>
  <c r="K67" i="25"/>
  <c r="R73" i="25"/>
  <c r="K83" i="25"/>
  <c r="R89" i="25"/>
  <c r="K99" i="25"/>
  <c r="R105" i="25"/>
  <c r="K115" i="25"/>
  <c r="R125" i="25"/>
  <c r="K128" i="25"/>
  <c r="M132" i="25"/>
  <c r="R140" i="25"/>
  <c r="K143" i="25"/>
  <c r="M147" i="25"/>
  <c r="R157" i="25"/>
  <c r="K160" i="25"/>
  <c r="M164" i="25"/>
  <c r="R172" i="25"/>
  <c r="K175" i="25"/>
  <c r="R10" i="25"/>
  <c r="M14" i="25"/>
  <c r="R23" i="25"/>
  <c r="K53" i="25"/>
  <c r="K58" i="25"/>
  <c r="M60" i="25"/>
  <c r="R64" i="25"/>
  <c r="K74" i="25"/>
  <c r="M76" i="25"/>
  <c r="M83" i="25"/>
  <c r="K90" i="25"/>
  <c r="M99" i="25"/>
  <c r="M115" i="25"/>
  <c r="K126" i="25"/>
  <c r="M145" i="25"/>
  <c r="M162" i="25"/>
  <c r="M179" i="25"/>
  <c r="M197" i="25"/>
  <c r="M21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</author>
  </authors>
  <commentList>
    <comment ref="AR2" authorId="0" shapeId="0" xr:uid="{395F2E9F-807B-435F-85B5-80695C5CEFCC}">
      <text>
        <r>
          <rPr>
            <b/>
            <sz val="9"/>
            <color indexed="81"/>
            <rFont val="MS P ゴシック"/>
            <family val="3"/>
            <charset val="128"/>
          </rPr>
          <t>バージョン：v0.1.2_x000D_
参考情報：_x000D_
シートロックの解除に関する重要な情報は、リンク先のドキュメントに記載されています。</t>
        </r>
      </text>
    </comment>
  </commentList>
</comments>
</file>

<file path=xl/sharedStrings.xml><?xml version="1.0" encoding="utf-8"?>
<sst xmlns="http://schemas.openxmlformats.org/spreadsheetml/2006/main" count="1705" uniqueCount="85">
  <si>
    <t>L1</t>
  </si>
  <si>
    <t>・</t>
    <phoneticPr fontId="1"/>
  </si>
  <si>
    <t>全体：</t>
  </si>
  <si>
    <t>選択：</t>
  </si>
  <si>
    <t>【選択候補定義】組織：</t>
  </si>
  <si>
    <t>【選択候補定義】担当：</t>
  </si>
  <si>
    <t>【選択候補定義】カテゴリ1：</t>
  </si>
  <si>
    <t>【選択候補定義】カテゴリ2：</t>
  </si>
  <si>
    <t>CHK</t>
  </si>
  <si>
    <t>OPT</t>
  </si>
  <si>
    <t>L2</t>
  </si>
  <si>
    <t>L3</t>
  </si>
  <si>
    <t>L4</t>
  </si>
  <si>
    <t>L5</t>
  </si>
  <si>
    <t>TASK</t>
  </si>
  <si>
    <t>IDX</t>
  </si>
  <si>
    <t>CNT</t>
  </si>
  <si>
    <t>LV</t>
  </si>
  <si>
    <t>T</t>
  </si>
  <si>
    <t>IC</t>
  </si>
  <si>
    <t>PE</t>
  </si>
  <si>
    <t>CE</t>
  </si>
  <si>
    <t>ID</t>
  </si>
  <si>
    <t>TASK集計</t>
  </si>
  <si>
    <t>工数</t>
  </si>
  <si>
    <t>項目</t>
  </si>
  <si>
    <t>予定</t>
  </si>
  <si>
    <t>実績</t>
  </si>
  <si>
    <t>D-Click!</t>
  </si>
  <si>
    <t>階層番号</t>
  </si>
  <si>
    <t>WBS項目名</t>
  </si>
  <si>
    <t>合計</t>
  </si>
  <si>
    <t>完了</t>
  </si>
  <si>
    <t>ステータス</t>
  </si>
  <si>
    <t>進捗率</t>
  </si>
  <si>
    <t>消化率</t>
  </si>
  <si>
    <t>加重</t>
  </si>
  <si>
    <t>組織</t>
  </si>
  <si>
    <t>担当</t>
  </si>
  <si>
    <t>成果物</t>
  </si>
  <si>
    <t>開始日</t>
  </si>
  <si>
    <t>終了日</t>
  </si>
  <si>
    <t>カテゴリ1</t>
  </si>
  <si>
    <t>カテゴリ2</t>
  </si>
  <si>
    <t>備考</t>
  </si>
  <si>
    <r>
      <t>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</si>
  <si>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残工数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</si>
  <si>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済工数</t>
    </r>
    <r>
      <rPr>
        <sz val="6"/>
        <color theme="1"/>
        <rFont val="Yu Gothic"/>
        <family val="3"/>
        <charset val="128"/>
        <scheme val="minor"/>
      </rPr>
      <t>(人日)</t>
    </r>
  </si>
  <si>
    <t>@</t>
  </si>
  <si>
    <t>$</t>
  </si>
  <si>
    <r>
      <t>全体</t>
    </r>
    <r>
      <rPr>
        <sz val="6"/>
        <color rgb="FFFFFFFF"/>
        <rFont val="Yu Gothic"/>
        <family val="3"/>
        <charset val="128"/>
        <scheme val="minor"/>
      </rPr>
      <t>%</t>
    </r>
  </si>
  <si>
    <r>
      <t>合計</t>
    </r>
    <r>
      <rPr>
        <sz val="6"/>
        <color rgb="FFFFFFFF"/>
        <rFont val="Yu Gothic"/>
        <family val="3"/>
        <charset val="128"/>
        <scheme val="minor"/>
      </rPr>
      <t>人日</t>
    </r>
  </si>
  <si>
    <t>A,B,C</t>
  </si>
  <si>
    <t>D,E,F</t>
  </si>
  <si>
    <t>階層1 テキスト</t>
  </si>
  <si>
    <t>階層1タスク テキスト1</t>
  </si>
  <si>
    <t>階層1タスク テキスト2</t>
  </si>
  <si>
    <t>階層1タスク テキスト3</t>
  </si>
  <si>
    <t>階層2 テキスト</t>
  </si>
  <si>
    <t>階層2タスク テキスト1</t>
  </si>
  <si>
    <t>階層2タスク テキスト2</t>
  </si>
  <si>
    <t>階層2タスク テキスト3</t>
  </si>
  <si>
    <t>階層3 テキスト</t>
  </si>
  <si>
    <t>階層3タスク テキスト1</t>
  </si>
  <si>
    <t>階層3タスク テキスト2</t>
  </si>
  <si>
    <t>階層3タスク テキスト3</t>
  </si>
  <si>
    <t>階層4 テキスト</t>
  </si>
  <si>
    <t>階層4タスク テキスト1</t>
  </si>
  <si>
    <t>階層4タスク テキスト2</t>
  </si>
  <si>
    <t>階層4タスク テキスト3</t>
  </si>
  <si>
    <t>階層5 テキスト</t>
  </si>
  <si>
    <t>階層5タスク テキスト1</t>
  </si>
  <si>
    <t>階層5タスク テキスト2</t>
  </si>
  <si>
    <t>WBS-Template</t>
  </si>
  <si>
    <t>https://github.com/H16K148/wbs-template-xlsm</t>
  </si>
  <si>
    <t>A社,B社,C社</t>
  </si>
  <si>
    <t>佐藤一郎,鈴木二郎,高橋三郎</t>
  </si>
  <si>
    <t>削除</t>
  </si>
  <si>
    <t>却下</t>
  </si>
  <si>
    <t>-</t>
  </si>
  <si>
    <t>保留</t>
  </si>
  <si>
    <t>棚上げ</t>
  </si>
  <si>
    <t>移管済</t>
  </si>
  <si>
    <t>未着手</t>
  </si>
  <si>
    <t>着手中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</si>
</sst>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9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7"/>
      <color theme="1"/>
      <name val="Yu Gothic"/>
      <family val="3"/>
      <charset val="128"/>
      <scheme val="minor"/>
    </font>
    <font>
      <sz val="6"/>
      <color theme="1"/>
      <name val="Yu Gothic"/>
      <family val="3"/>
      <charset val="128"/>
      <scheme val="minor"/>
    </font>
    <font>
      <sz val="9"/>
      <color rgb="FFFFFFFF"/>
      <name val="Yu Gothic"/>
      <family val="3"/>
      <charset val="128"/>
      <scheme val="minor"/>
    </font>
    <font>
      <sz val="6"/>
      <color rgb="FFFFFFFF"/>
      <name val="Yu Gothic"/>
      <family val="3"/>
      <charset val="128"/>
      <scheme val="minor"/>
    </font>
    <font>
      <u/>
      <sz val="8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176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0" fontId="9" fillId="0" borderId="0" xfId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Continuous" vertical="center"/>
    </xf>
    <xf numFmtId="0" fontId="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</cellXfs>
  <cellStyles count="2">
    <cellStyle name="ハイパーリンク" xfId="1" builtinId="8"/>
    <cellStyle name="標準" xfId="0" builtinId="0"/>
  </cellStyles>
  <dxfs count="204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</dxfs>
  <tableStyles count="0" defaultTableStyle="TableStyleMedium2" defaultPivotStyle="PivotStyleLight16"/>
  <colors>
    <mruColors>
      <color rgb="FFFFCCCC"/>
      <color rgb="FFF5F7FB"/>
      <color rgb="FFECF0F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noThreeD="1" sel="1" val="0">
  <itemLst>
    <item val="入力フォームをリセット"/>
    <item val="オートフィルターをリセット"/>
    <item val="書式・入力規則をリセット"/>
    <item val="階層番号で全体をソート"/>
    <item val="すべて再計算"/>
    <item val="エラーチェック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同階層の２箇所でない場合は不可 ※"/>
    <item val="【CHK】 チェックした行を削除　※ 孫階層がある場合は不可 ※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24</xdr:col>
          <xdr:colOff>297180</xdr:colOff>
          <xdr:row>3</xdr:row>
          <xdr:rowOff>0</xdr:rowOff>
        </xdr:to>
        <xdr:sp macro="" textlink="">
          <xdr:nvSpPr>
            <xdr:cNvPr id="31962" name="Execute1ComboBox" hidden="1">
              <a:extLst>
                <a:ext uri="{63B3BB69-23CF-44E3-9099-C40C66FF867C}">
                  <a14:compatExt spid="_x0000_s31962"/>
                </a:ext>
                <a:ext uri="{FF2B5EF4-FFF2-40B4-BE49-F238E27FC236}">
                  <a16:creationId xmlns:a16="http://schemas.microsoft.com/office/drawing/2014/main" id="{B392B11A-9DAA-B163-9722-F97167BC6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295275</xdr:colOff>
          <xdr:row>2</xdr:row>
          <xdr:rowOff>0</xdr:rowOff>
        </xdr:from>
        <xdr:to>
          <xdr:col>24</xdr:col>
          <xdr:colOff>809625</xdr:colOff>
          <xdr:row>3</xdr:row>
          <xdr:rowOff>0</xdr:rowOff>
        </xdr:to>
        <xdr:sp macro="" textlink="">
          <xdr:nvSpPr>
            <xdr:cNvPr id="31963" name="Execute1Button" hidden="1">
              <a:extLst>
                <a:ext uri="{63B3BB69-23CF-44E3-9099-C40C66FF867C}">
                  <a14:compatExt spid="_x0000_s31963"/>
                </a:ext>
                <a:ext uri="{FF2B5EF4-FFF2-40B4-BE49-F238E27FC236}">
                  <a16:creationId xmlns:a16="http://schemas.microsoft.com/office/drawing/2014/main" id="{04567401-48F4-D560-4B07-20655C35D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809625</xdr:colOff>
          <xdr:row>2</xdr:row>
          <xdr:rowOff>0</xdr:rowOff>
        </xdr:from>
        <xdr:to>
          <xdr:col>24</xdr:col>
          <xdr:colOff>1504950</xdr:colOff>
          <xdr:row>3</xdr:row>
          <xdr:rowOff>0</xdr:rowOff>
        </xdr:to>
        <xdr:sp macro="" textlink="">
          <xdr:nvSpPr>
            <xdr:cNvPr id="31964" name="Reset1Button" hidden="1">
              <a:extLst>
                <a:ext uri="{63B3BB69-23CF-44E3-9099-C40C66FF867C}">
                  <a14:compatExt spid="_x0000_s31964"/>
                </a:ext>
                <a:ext uri="{FF2B5EF4-FFF2-40B4-BE49-F238E27FC236}">
                  <a16:creationId xmlns:a16="http://schemas.microsoft.com/office/drawing/2014/main" id="{F496BE18-3CCB-DCE7-C621-EB5C92AEC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24</xdr:col>
          <xdr:colOff>2202180</xdr:colOff>
          <xdr:row>4</xdr:row>
          <xdr:rowOff>0</xdr:rowOff>
        </xdr:to>
        <xdr:sp macro="" textlink="">
          <xdr:nvSpPr>
            <xdr:cNvPr id="31965" name="Execute2ComboBox" hidden="1">
              <a:extLst>
                <a:ext uri="{63B3BB69-23CF-44E3-9099-C40C66FF867C}">
                  <a14:compatExt spid="_x0000_s31965"/>
                </a:ext>
                <a:ext uri="{FF2B5EF4-FFF2-40B4-BE49-F238E27FC236}">
                  <a16:creationId xmlns:a16="http://schemas.microsoft.com/office/drawing/2014/main" id="{CA9D6D19-8329-0826-F578-D02946887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2200275</xdr:colOff>
          <xdr:row>3</xdr:row>
          <xdr:rowOff>0</xdr:rowOff>
        </xdr:from>
        <xdr:to>
          <xdr:col>24</xdr:col>
          <xdr:colOff>2714625</xdr:colOff>
          <xdr:row>4</xdr:row>
          <xdr:rowOff>0</xdr:rowOff>
        </xdr:to>
        <xdr:sp macro="" textlink="">
          <xdr:nvSpPr>
            <xdr:cNvPr id="31966" name="Execute2Button" hidden="1">
              <a:extLst>
                <a:ext uri="{63B3BB69-23CF-44E3-9099-C40C66FF867C}">
                  <a14:compatExt spid="_x0000_s31966"/>
                </a:ext>
                <a:ext uri="{FF2B5EF4-FFF2-40B4-BE49-F238E27FC236}">
                  <a16:creationId xmlns:a16="http://schemas.microsoft.com/office/drawing/2014/main" id="{90F1E98B-D85E-DE9C-A3CE-098FC624C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2714625</xdr:colOff>
          <xdr:row>3</xdr:row>
          <xdr:rowOff>0</xdr:rowOff>
        </xdr:from>
        <xdr:to>
          <xdr:col>24</xdr:col>
          <xdr:colOff>3409950</xdr:colOff>
          <xdr:row>4</xdr:row>
          <xdr:rowOff>0</xdr:rowOff>
        </xdr:to>
        <xdr:sp macro="" textlink="">
          <xdr:nvSpPr>
            <xdr:cNvPr id="31967" name="Reset2Button" hidden="1">
              <a:extLst>
                <a:ext uri="{63B3BB69-23CF-44E3-9099-C40C66FF867C}">
                  <a14:compatExt spid="_x0000_s31967"/>
                </a:ext>
                <a:ext uri="{FF2B5EF4-FFF2-40B4-BE49-F238E27FC236}">
                  <a16:creationId xmlns:a16="http://schemas.microsoft.com/office/drawing/2014/main" id="{455E643F-463F-736A-1873-C3832EEF0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35BCF-56DA-428A-8AA0-4FD9B2FF02CF}">
  <sheetPr codeName="Sheet1"/>
  <dimension ref="A1:AR220"/>
  <sheetViews>
    <sheetView tabSelected="1" zoomScale="90" zoomScaleNormal="90" workbookViewId="0">
      <pane xSplit="31" ySplit="7" topLeftCell="AF182" activePane="bottomRight" state="frozen"/>
      <selection pane="topRight" activeCell="AF1" sqref="AF1"/>
      <selection pane="bottomLeft" activeCell="A8" sqref="A8"/>
      <selection pane="bottomRight" activeCell="AB214" sqref="AB214"/>
    </sheetView>
  </sheetViews>
  <sheetFormatPr defaultRowHeight="18" customHeight="1"/>
  <cols>
    <col min="1" max="1" width="0.125" style="9" customWidth="1"/>
    <col min="2" max="10" width="3.625" style="9" customWidth="1"/>
    <col min="11" max="17" width="3.625" style="9" hidden="1" customWidth="1"/>
    <col min="18" max="18" width="3.625" style="9" customWidth="1"/>
    <col min="19" max="24" width="2.125" style="9" customWidth="1"/>
    <col min="25" max="25" width="60.625" style="9" customWidth="1"/>
    <col min="26" max="27" width="5.625" style="9" customWidth="1"/>
    <col min="28" max="28" width="8.625" style="9" customWidth="1"/>
    <col min="29" max="30" width="8.125" style="9" customWidth="1"/>
    <col min="31" max="31" width="5.625" style="9" customWidth="1"/>
    <col min="32" max="34" width="12.625" style="9" customWidth="1"/>
    <col min="35" max="35" width="8.625" style="9" customWidth="1"/>
    <col min="36" max="37" width="10.625" style="9" customWidth="1"/>
    <col min="38" max="39" width="8.625" style="9" customWidth="1"/>
    <col min="40" max="41" width="10.625" style="9" customWidth="1"/>
    <col min="42" max="43" width="12.625" style="9" customWidth="1"/>
    <col min="44" max="44" width="50.625" style="9" customWidth="1"/>
    <col min="45" max="16384" width="9" style="9"/>
  </cols>
  <sheetData>
    <row r="1" spans="1:44" ht="3.75" customHeight="1"/>
    <row r="2" spans="1:44" s="2" customFormat="1" ht="30" customHeight="1">
      <c r="B2" s="5" t="s">
        <v>73</v>
      </c>
      <c r="AR2" s="6" t="s">
        <v>74</v>
      </c>
    </row>
    <row r="3" spans="1:44" ht="18" customHeight="1">
      <c r="D3" s="10" t="s">
        <v>2</v>
      </c>
      <c r="AB3" s="10" t="s">
        <v>4</v>
      </c>
      <c r="AC3" s="2" t="s">
        <v>75</v>
      </c>
      <c r="AP3" s="10" t="s">
        <v>6</v>
      </c>
      <c r="AQ3" s="2" t="s">
        <v>52</v>
      </c>
    </row>
    <row r="4" spans="1:44" ht="18" customHeight="1">
      <c r="D4" s="10" t="s">
        <v>3</v>
      </c>
      <c r="AB4" s="10" t="s">
        <v>5</v>
      </c>
      <c r="AC4" s="2" t="s">
        <v>76</v>
      </c>
      <c r="AP4" s="10" t="s">
        <v>7</v>
      </c>
      <c r="AQ4" s="2" t="s">
        <v>53</v>
      </c>
    </row>
    <row r="5" spans="1:44" ht="18" customHeight="1">
      <c r="C5" s="11" t="s">
        <v>8</v>
      </c>
      <c r="D5" s="11" t="s">
        <v>9</v>
      </c>
      <c r="E5" s="11" t="s">
        <v>0</v>
      </c>
      <c r="F5" s="11" t="s">
        <v>10</v>
      </c>
      <c r="G5" s="11" t="s">
        <v>11</v>
      </c>
      <c r="H5" s="11" t="s">
        <v>12</v>
      </c>
      <c r="I5" s="11" t="s">
        <v>13</v>
      </c>
      <c r="J5" s="11" t="s">
        <v>14</v>
      </c>
      <c r="K5" s="11" t="s">
        <v>15</v>
      </c>
      <c r="L5" s="11" t="s">
        <v>16</v>
      </c>
      <c r="M5" s="11" t="s">
        <v>17</v>
      </c>
      <c r="N5" s="11" t="s">
        <v>18</v>
      </c>
      <c r="O5" s="11" t="s">
        <v>19</v>
      </c>
      <c r="P5" s="11" t="s">
        <v>20</v>
      </c>
      <c r="Q5" s="11" t="s">
        <v>21</v>
      </c>
      <c r="R5" s="11" t="s">
        <v>22</v>
      </c>
      <c r="S5" s="11" t="s">
        <v>0</v>
      </c>
      <c r="T5" s="11" t="s">
        <v>10</v>
      </c>
      <c r="U5" s="11" t="s">
        <v>11</v>
      </c>
      <c r="V5" s="11" t="s">
        <v>12</v>
      </c>
      <c r="W5" s="11" t="s">
        <v>13</v>
      </c>
      <c r="X5" s="12" t="s">
        <v>14</v>
      </c>
      <c r="Y5" s="11"/>
      <c r="Z5" s="13" t="s">
        <v>23</v>
      </c>
      <c r="AA5" s="13"/>
      <c r="AB5" s="14"/>
      <c r="AC5" s="14" t="s">
        <v>24</v>
      </c>
      <c r="AD5" s="15" t="s">
        <v>25</v>
      </c>
      <c r="AE5" s="15"/>
      <c r="AF5" s="14"/>
      <c r="AG5" s="14"/>
      <c r="AH5" s="14"/>
      <c r="AI5" s="15" t="s">
        <v>26</v>
      </c>
      <c r="AJ5" s="15"/>
      <c r="AK5" s="15"/>
      <c r="AL5" s="15" t="s">
        <v>27</v>
      </c>
      <c r="AM5" s="15"/>
      <c r="AN5" s="15"/>
      <c r="AO5" s="15"/>
      <c r="AP5" s="14"/>
      <c r="AQ5" s="14"/>
      <c r="AR5" s="14"/>
    </row>
    <row r="6" spans="1:44" ht="18" customHeight="1">
      <c r="C6" s="16" t="s">
        <v>28</v>
      </c>
      <c r="D6" s="16"/>
      <c r="E6" s="16" t="s">
        <v>29</v>
      </c>
      <c r="F6" s="16"/>
      <c r="G6" s="16"/>
      <c r="H6" s="16"/>
      <c r="I6" s="16"/>
      <c r="J6" s="16"/>
      <c r="K6" s="17"/>
      <c r="L6" s="17"/>
      <c r="M6" s="17"/>
      <c r="N6" s="17"/>
      <c r="O6" s="17"/>
      <c r="P6" s="17"/>
      <c r="Q6" s="17"/>
      <c r="R6" s="16" t="s">
        <v>30</v>
      </c>
      <c r="S6" s="16"/>
      <c r="T6" s="16"/>
      <c r="U6" s="16"/>
      <c r="V6" s="16"/>
      <c r="W6" s="16"/>
      <c r="X6" s="16"/>
      <c r="Y6" s="16"/>
      <c r="Z6" s="17" t="s">
        <v>31</v>
      </c>
      <c r="AA6" s="17" t="s">
        <v>32</v>
      </c>
      <c r="AB6" s="17" t="s">
        <v>33</v>
      </c>
      <c r="AC6" s="17" t="s">
        <v>34</v>
      </c>
      <c r="AD6" s="17" t="s">
        <v>35</v>
      </c>
      <c r="AE6" s="17" t="s">
        <v>36</v>
      </c>
      <c r="AF6" s="17" t="s">
        <v>37</v>
      </c>
      <c r="AG6" s="17" t="s">
        <v>38</v>
      </c>
      <c r="AH6" s="17" t="s">
        <v>39</v>
      </c>
      <c r="AI6" s="17" t="s">
        <v>45</v>
      </c>
      <c r="AJ6" s="17" t="s">
        <v>40</v>
      </c>
      <c r="AK6" s="17" t="s">
        <v>41</v>
      </c>
      <c r="AL6" s="17" t="s">
        <v>46</v>
      </c>
      <c r="AM6" s="17" t="s">
        <v>47</v>
      </c>
      <c r="AN6" s="17" t="s">
        <v>40</v>
      </c>
      <c r="AO6" s="17" t="s">
        <v>41</v>
      </c>
      <c r="AP6" s="17" t="s">
        <v>42</v>
      </c>
      <c r="AQ6" s="17" t="s">
        <v>43</v>
      </c>
      <c r="AR6" s="17" t="s">
        <v>44</v>
      </c>
    </row>
    <row r="7" spans="1:44" ht="18" customHeight="1">
      <c r="A7" s="9" t="s">
        <v>48</v>
      </c>
    </row>
    <row r="8" spans="1:44" ht="18" customHeight="1">
      <c r="B8" s="17"/>
      <c r="C8" s="1" t="s">
        <v>1</v>
      </c>
      <c r="D8" s="1" t="s">
        <v>1</v>
      </c>
      <c r="E8" s="1">
        <v>1</v>
      </c>
      <c r="F8" s="1"/>
      <c r="G8" s="1"/>
      <c r="H8" s="1"/>
      <c r="I8" s="1"/>
      <c r="J8" s="1"/>
      <c r="K8" s="8" t="str">
        <f>CustomFormatWbsIdx(B8,E8,F8,G8,H8,I8,J8)</f>
        <v>001.---.---.---.---.---</v>
      </c>
      <c r="L8" s="8">
        <v>1</v>
      </c>
      <c r="M8" s="8">
        <f>CustomFuncGetLevel(E8,F8,G8,H8,I8)</f>
        <v>1</v>
      </c>
      <c r="N8" s="8" t="b">
        <f>AND(J8&lt;&gt;"",ISNUMBER(J8))</f>
        <v>0</v>
      </c>
      <c r="O8" s="8" t="b">
        <f>NOT(OR(AB8="削除",AB8="移管済",AB8="棚上げ",AB8="却下"))</f>
        <v>1</v>
      </c>
      <c r="P8" s="8" t="b">
        <v>1</v>
      </c>
      <c r="Q8" s="8" t="b">
        <v>1</v>
      </c>
      <c r="R8" s="8" t="str">
        <f>CustomFormatWbsId(B8,E8,F8,G8,H8,I8,J8)</f>
        <v>1</v>
      </c>
      <c r="S8" s="2" t="s">
        <v>54</v>
      </c>
      <c r="T8" s="2"/>
      <c r="U8" s="2"/>
      <c r="V8" s="2"/>
      <c r="W8" s="2"/>
      <c r="X8" s="2"/>
      <c r="Y8" s="2"/>
      <c r="Z8" s="7">
        <v>85</v>
      </c>
      <c r="AA8" s="7">
        <v>8</v>
      </c>
      <c r="AB8" s="1" t="s">
        <v>79</v>
      </c>
      <c r="AC8" s="1">
        <v>0.41288249559082896</v>
      </c>
      <c r="AD8" s="3">
        <v>0.31110674582032988</v>
      </c>
      <c r="AE8" s="1">
        <v>3</v>
      </c>
      <c r="AF8" s="1" t="s">
        <v>79</v>
      </c>
      <c r="AG8" s="1" t="s">
        <v>79</v>
      </c>
      <c r="AH8" s="4"/>
      <c r="AI8" s="1">
        <v>104.5</v>
      </c>
      <c r="AJ8" s="1"/>
      <c r="AK8" s="1"/>
      <c r="AL8" s="1">
        <v>96</v>
      </c>
      <c r="AM8" s="1">
        <v>106</v>
      </c>
      <c r="AN8" s="1"/>
      <c r="AO8" s="1"/>
      <c r="AP8" s="1" t="s">
        <v>79</v>
      </c>
      <c r="AQ8" s="1" t="s">
        <v>79</v>
      </c>
      <c r="AR8" s="2"/>
    </row>
    <row r="9" spans="1:44" ht="18" customHeight="1">
      <c r="B9" s="17"/>
      <c r="C9" s="1" t="s">
        <v>1</v>
      </c>
      <c r="D9" s="1" t="s">
        <v>1</v>
      </c>
      <c r="E9" s="1">
        <v>1</v>
      </c>
      <c r="F9" s="1"/>
      <c r="G9" s="1"/>
      <c r="H9" s="1"/>
      <c r="I9" s="1"/>
      <c r="J9" s="1">
        <v>1</v>
      </c>
      <c r="K9" s="8" t="str">
        <f>CustomFormatWbsIdx(B9,E9,F9,G9,H9,I9,J9)</f>
        <v>001.---.---.---.---.001</v>
      </c>
      <c r="L9" s="8">
        <v>1</v>
      </c>
      <c r="M9" s="8">
        <f>CustomFuncGetLevel(E9,F9,G9,H9,I9)</f>
        <v>1</v>
      </c>
      <c r="N9" s="8" t="b">
        <f>AND(J9&lt;&gt;"",ISNUMBER(J9))</f>
        <v>1</v>
      </c>
      <c r="O9" s="8" t="b">
        <f>NOT(OR(AB9="削除",AB9="移管済",AB9="棚上げ",AB9="却下"))</f>
        <v>0</v>
      </c>
      <c r="P9" s="8" t="b">
        <v>1</v>
      </c>
      <c r="Q9" s="8" t="b">
        <v>0</v>
      </c>
      <c r="R9" s="8" t="str">
        <f>CustomFormatWbsId(B9,E9,F9,G9,H9,I9,J9)</f>
        <v>1.T1</v>
      </c>
      <c r="S9" s="2"/>
      <c r="T9" s="2"/>
      <c r="U9" s="2"/>
      <c r="V9" s="2"/>
      <c r="W9" s="2"/>
      <c r="X9" s="2" t="s">
        <v>55</v>
      </c>
      <c r="Y9" s="2"/>
      <c r="Z9" s="7">
        <v>1</v>
      </c>
      <c r="AA9" s="7">
        <v>0</v>
      </c>
      <c r="AB9" s="1" t="s">
        <v>77</v>
      </c>
      <c r="AC9" s="1">
        <v>0.8</v>
      </c>
      <c r="AD9" s="3">
        <v>0.5</v>
      </c>
      <c r="AE9" s="1">
        <v>2</v>
      </c>
      <c r="AF9" s="1" t="s">
        <v>79</v>
      </c>
      <c r="AG9" s="1" t="s">
        <v>79</v>
      </c>
      <c r="AH9" s="4"/>
      <c r="AI9" s="1">
        <v>0.5</v>
      </c>
      <c r="AJ9" s="1"/>
      <c r="AK9" s="1"/>
      <c r="AL9" s="1">
        <v>0.5</v>
      </c>
      <c r="AM9" s="1">
        <v>2</v>
      </c>
      <c r="AN9" s="1"/>
      <c r="AO9" s="1"/>
      <c r="AP9" s="1" t="s">
        <v>79</v>
      </c>
      <c r="AQ9" s="1" t="s">
        <v>79</v>
      </c>
      <c r="AR9" s="2"/>
    </row>
    <row r="10" spans="1:44" ht="18" customHeight="1">
      <c r="B10" s="17"/>
      <c r="C10" s="1" t="s">
        <v>1</v>
      </c>
      <c r="D10" s="1" t="s">
        <v>1</v>
      </c>
      <c r="E10" s="1">
        <v>1</v>
      </c>
      <c r="F10" s="1"/>
      <c r="G10" s="1"/>
      <c r="H10" s="1"/>
      <c r="I10" s="1"/>
      <c r="J10" s="1">
        <v>2</v>
      </c>
      <c r="K10" s="8" t="str">
        <f>CustomFormatWbsIdx(B10,E10,F10,G10,H10,I10,J10)</f>
        <v>001.---.---.---.---.002</v>
      </c>
      <c r="L10" s="8">
        <v>1</v>
      </c>
      <c r="M10" s="8">
        <f>CustomFuncGetLevel(E10,F10,G10,H10,I10)</f>
        <v>1</v>
      </c>
      <c r="N10" s="8" t="b">
        <f>AND(J10&lt;&gt;"",ISNUMBER(J10))</f>
        <v>1</v>
      </c>
      <c r="O10" s="8" t="b">
        <f>NOT(OR(AB10="削除",AB10="移管済",AB10="棚上げ",AB10="却下"))</f>
        <v>0</v>
      </c>
      <c r="P10" s="8" t="b">
        <v>1</v>
      </c>
      <c r="Q10" s="8" t="b">
        <v>0</v>
      </c>
      <c r="R10" s="8" t="str">
        <f>CustomFormatWbsId(B10,E10,F10,G10,H10,I10,J10)</f>
        <v>1.T2</v>
      </c>
      <c r="S10" s="2"/>
      <c r="T10" s="2"/>
      <c r="U10" s="2"/>
      <c r="V10" s="2"/>
      <c r="W10" s="2"/>
      <c r="X10" s="2" t="s">
        <v>56</v>
      </c>
      <c r="Y10" s="2"/>
      <c r="Z10" s="7">
        <v>1</v>
      </c>
      <c r="AA10" s="7">
        <v>0</v>
      </c>
      <c r="AB10" s="1" t="s">
        <v>78</v>
      </c>
      <c r="AC10" s="1">
        <v>0.5</v>
      </c>
      <c r="AD10" s="3">
        <v>0</v>
      </c>
      <c r="AE10" s="1">
        <v>1</v>
      </c>
      <c r="AF10" s="1" t="s">
        <v>79</v>
      </c>
      <c r="AG10" s="1" t="s">
        <v>79</v>
      </c>
      <c r="AH10" s="4"/>
      <c r="AI10" s="1">
        <v>2</v>
      </c>
      <c r="AJ10" s="1"/>
      <c r="AK10" s="1"/>
      <c r="AL10" s="1">
        <v>2</v>
      </c>
      <c r="AM10" s="1">
        <v>2</v>
      </c>
      <c r="AN10" s="1"/>
      <c r="AO10" s="1"/>
      <c r="AP10" s="1" t="s">
        <v>79</v>
      </c>
      <c r="AQ10" s="1" t="s">
        <v>79</v>
      </c>
      <c r="AR10" s="2"/>
    </row>
    <row r="11" spans="1:44" ht="18" customHeight="1">
      <c r="B11" s="17"/>
      <c r="C11" s="1" t="s">
        <v>1</v>
      </c>
      <c r="D11" s="1" t="s">
        <v>1</v>
      </c>
      <c r="E11" s="1">
        <v>1</v>
      </c>
      <c r="F11" s="1"/>
      <c r="G11" s="1"/>
      <c r="H11" s="1"/>
      <c r="I11" s="1"/>
      <c r="J11" s="1">
        <v>3</v>
      </c>
      <c r="K11" s="8" t="str">
        <f>CustomFormatWbsIdx(B11,E11,F11,G11,H11,I11,J11)</f>
        <v>001.---.---.---.---.003</v>
      </c>
      <c r="L11" s="8">
        <v>1</v>
      </c>
      <c r="M11" s="8">
        <f>CustomFuncGetLevel(E11,F11,G11,H11,I11)</f>
        <v>1</v>
      </c>
      <c r="N11" s="8" t="b">
        <f>AND(J11&lt;&gt;"",ISNUMBER(J11))</f>
        <v>1</v>
      </c>
      <c r="O11" s="8" t="b">
        <f>NOT(OR(AB11="削除",AB11="移管済",AB11="棚上げ",AB11="却下"))</f>
        <v>1</v>
      </c>
      <c r="P11" s="8" t="b">
        <v>1</v>
      </c>
      <c r="Q11" s="8" t="b">
        <v>0</v>
      </c>
      <c r="R11" s="8" t="str">
        <f>CustomFormatWbsId(B11,E11,F11,G11,H11,I11,J11)</f>
        <v>1.T3</v>
      </c>
      <c r="S11" s="2"/>
      <c r="T11" s="2"/>
      <c r="U11" s="2"/>
      <c r="V11" s="2"/>
      <c r="W11" s="2"/>
      <c r="X11" s="2" t="s">
        <v>57</v>
      </c>
      <c r="Y11" s="2"/>
      <c r="Z11" s="7">
        <v>1</v>
      </c>
      <c r="AA11" s="7">
        <v>0</v>
      </c>
      <c r="AB11" s="1" t="s">
        <v>79</v>
      </c>
      <c r="AC11" s="1">
        <v>0.44444444444444442</v>
      </c>
      <c r="AD11" s="3">
        <v>0</v>
      </c>
      <c r="AE11" s="1">
        <v>1</v>
      </c>
      <c r="AF11" s="1" t="s">
        <v>79</v>
      </c>
      <c r="AG11" s="1" t="s">
        <v>79</v>
      </c>
      <c r="AH11" s="4"/>
      <c r="AI11" s="1">
        <v>1</v>
      </c>
      <c r="AJ11" s="1"/>
      <c r="AK11" s="1"/>
      <c r="AL11" s="1">
        <v>2.5</v>
      </c>
      <c r="AM11" s="1">
        <v>2</v>
      </c>
      <c r="AN11" s="1"/>
      <c r="AO11" s="1"/>
      <c r="AP11" s="1" t="s">
        <v>79</v>
      </c>
      <c r="AQ11" s="1" t="s">
        <v>79</v>
      </c>
      <c r="AR11" s="2"/>
    </row>
    <row r="12" spans="1:44" ht="18" customHeight="1">
      <c r="B12" s="17"/>
      <c r="C12" s="1" t="s">
        <v>1</v>
      </c>
      <c r="D12" s="1" t="s">
        <v>1</v>
      </c>
      <c r="E12" s="1">
        <v>1</v>
      </c>
      <c r="F12" s="1">
        <v>1</v>
      </c>
      <c r="G12" s="1"/>
      <c r="H12" s="1"/>
      <c r="I12" s="1"/>
      <c r="J12" s="1"/>
      <c r="K12" s="8" t="str">
        <f>CustomFormatWbsIdx(B12,E12,F12,G12,H12,I12,J12)</f>
        <v>001.001.---.---.---.---</v>
      </c>
      <c r="L12" s="8">
        <v>1</v>
      </c>
      <c r="M12" s="8">
        <f>CustomFuncGetLevel(E12,F12,G12,H12,I12)</f>
        <v>2</v>
      </c>
      <c r="N12" s="8" t="b">
        <f>AND(J12&lt;&gt;"",ISNUMBER(J12))</f>
        <v>0</v>
      </c>
      <c r="O12" s="8" t="b">
        <f>NOT(OR(AB12="削除",AB12="移管済",AB12="棚上げ",AB12="却下"))</f>
        <v>1</v>
      </c>
      <c r="P12" s="8" t="b">
        <v>1</v>
      </c>
      <c r="Q12" s="8" t="b">
        <v>1</v>
      </c>
      <c r="R12" s="8" t="str">
        <f>CustomFormatWbsId(B12,E12,F12,G12,H12,I12,J12)</f>
        <v>1.1</v>
      </c>
      <c r="S12" s="2"/>
      <c r="T12" s="2" t="s">
        <v>58</v>
      </c>
      <c r="U12" s="2"/>
      <c r="V12" s="2"/>
      <c r="W12" s="2"/>
      <c r="X12" s="2"/>
      <c r="Y12" s="2"/>
      <c r="Z12" s="7">
        <v>42</v>
      </c>
      <c r="AA12" s="7">
        <v>4</v>
      </c>
      <c r="AB12" s="1" t="s">
        <v>79</v>
      </c>
      <c r="AC12" s="1">
        <v>0.32806051587301588</v>
      </c>
      <c r="AD12" s="3">
        <v>0.35575238233875661</v>
      </c>
      <c r="AE12" s="1">
        <v>1</v>
      </c>
      <c r="AF12" s="1" t="s">
        <v>79</v>
      </c>
      <c r="AG12" s="1" t="s">
        <v>79</v>
      </c>
      <c r="AH12" s="4"/>
      <c r="AI12" s="1">
        <v>50.5</v>
      </c>
      <c r="AJ12" s="1"/>
      <c r="AK12" s="1"/>
      <c r="AL12" s="1">
        <v>47.5</v>
      </c>
      <c r="AM12" s="1">
        <v>45</v>
      </c>
      <c r="AN12" s="1"/>
      <c r="AO12" s="1"/>
      <c r="AP12" s="1" t="s">
        <v>79</v>
      </c>
      <c r="AQ12" s="1" t="s">
        <v>79</v>
      </c>
      <c r="AR12" s="2"/>
    </row>
    <row r="13" spans="1:44" ht="18" customHeight="1">
      <c r="B13" s="17"/>
      <c r="C13" s="1" t="s">
        <v>1</v>
      </c>
      <c r="D13" s="1" t="s">
        <v>1</v>
      </c>
      <c r="E13" s="1">
        <v>1</v>
      </c>
      <c r="F13" s="1">
        <v>1</v>
      </c>
      <c r="G13" s="1"/>
      <c r="H13" s="1"/>
      <c r="I13" s="1"/>
      <c r="J13" s="1">
        <v>1</v>
      </c>
      <c r="K13" s="8" t="str">
        <f>CustomFormatWbsIdx(B13,E13,F13,G13,H13,I13,J13)</f>
        <v>001.001.---.---.---.001</v>
      </c>
      <c r="L13" s="8">
        <v>1</v>
      </c>
      <c r="M13" s="8">
        <f>CustomFuncGetLevel(E13,F13,G13,H13,I13)</f>
        <v>2</v>
      </c>
      <c r="N13" s="8" t="b">
        <f>AND(J13&lt;&gt;"",ISNUMBER(J13))</f>
        <v>1</v>
      </c>
      <c r="O13" s="8" t="b">
        <f>NOT(OR(AB13="削除",AB13="移管済",AB13="棚上げ",AB13="却下"))</f>
        <v>1</v>
      </c>
      <c r="P13" s="8" t="b">
        <v>1</v>
      </c>
      <c r="Q13" s="8" t="b">
        <v>0</v>
      </c>
      <c r="R13" s="8" t="str">
        <f>CustomFormatWbsId(B13,E13,F13,G13,H13,I13,J13)</f>
        <v>1.1.T1</v>
      </c>
      <c r="S13" s="2"/>
      <c r="T13" s="2"/>
      <c r="U13" s="2"/>
      <c r="V13" s="2"/>
      <c r="W13" s="2"/>
      <c r="X13" s="2" t="s">
        <v>59</v>
      </c>
      <c r="Y13" s="2"/>
      <c r="Z13" s="7">
        <v>1</v>
      </c>
      <c r="AA13" s="7">
        <v>0</v>
      </c>
      <c r="AB13" s="1" t="s">
        <v>80</v>
      </c>
      <c r="AC13" s="1">
        <v>0</v>
      </c>
      <c r="AD13" s="3">
        <v>0.40000000596046448</v>
      </c>
      <c r="AE13" s="1">
        <v>1</v>
      </c>
      <c r="AF13" s="1" t="s">
        <v>79</v>
      </c>
      <c r="AG13" s="1" t="s">
        <v>79</v>
      </c>
      <c r="AH13" s="4"/>
      <c r="AI13" s="1">
        <v>2.5</v>
      </c>
      <c r="AJ13" s="1"/>
      <c r="AK13" s="1"/>
      <c r="AL13" s="1">
        <v>2.5</v>
      </c>
      <c r="AM13" s="1">
        <v>0</v>
      </c>
      <c r="AN13" s="1"/>
      <c r="AO13" s="1"/>
      <c r="AP13" s="1" t="s">
        <v>79</v>
      </c>
      <c r="AQ13" s="1" t="s">
        <v>79</v>
      </c>
      <c r="AR13" s="2"/>
    </row>
    <row r="14" spans="1:44" ht="18" customHeight="1">
      <c r="B14" s="17"/>
      <c r="C14" s="1" t="s">
        <v>1</v>
      </c>
      <c r="D14" s="1" t="s">
        <v>1</v>
      </c>
      <c r="E14" s="1">
        <v>1</v>
      </c>
      <c r="F14" s="1">
        <v>1</v>
      </c>
      <c r="G14" s="1"/>
      <c r="H14" s="1"/>
      <c r="I14" s="1"/>
      <c r="J14" s="1">
        <v>2</v>
      </c>
      <c r="K14" s="8" t="str">
        <f>CustomFormatWbsIdx(B14,E14,F14,G14,H14,I14,J14)</f>
        <v>001.001.---.---.---.002</v>
      </c>
      <c r="L14" s="8">
        <v>1</v>
      </c>
      <c r="M14" s="8">
        <f>CustomFuncGetLevel(E14,F14,G14,H14,I14)</f>
        <v>2</v>
      </c>
      <c r="N14" s="8" t="b">
        <f>AND(J14&lt;&gt;"",ISNUMBER(J14))</f>
        <v>1</v>
      </c>
      <c r="O14" s="8" t="b">
        <f>NOT(OR(AB14="削除",AB14="移管済",AB14="棚上げ",AB14="却下"))</f>
        <v>0</v>
      </c>
      <c r="P14" s="8" t="b">
        <v>1</v>
      </c>
      <c r="Q14" s="8" t="b">
        <v>0</v>
      </c>
      <c r="R14" s="8" t="str">
        <f>CustomFormatWbsId(B14,E14,F14,G14,H14,I14,J14)</f>
        <v>1.1.T2</v>
      </c>
      <c r="S14" s="2"/>
      <c r="T14" s="2"/>
      <c r="U14" s="2"/>
      <c r="V14" s="2"/>
      <c r="W14" s="2"/>
      <c r="X14" s="2" t="s">
        <v>60</v>
      </c>
      <c r="Y14" s="2"/>
      <c r="Z14" s="7">
        <v>1</v>
      </c>
      <c r="AA14" s="7">
        <v>0</v>
      </c>
      <c r="AB14" s="1" t="s">
        <v>81</v>
      </c>
      <c r="AC14" s="1">
        <v>0.5714285714285714</v>
      </c>
      <c r="AD14" s="3">
        <v>1</v>
      </c>
      <c r="AE14" s="1">
        <v>1</v>
      </c>
      <c r="AF14" s="1" t="s">
        <v>79</v>
      </c>
      <c r="AG14" s="1" t="s">
        <v>79</v>
      </c>
      <c r="AH14" s="4"/>
      <c r="AI14" s="1">
        <v>1</v>
      </c>
      <c r="AJ14" s="1"/>
      <c r="AK14" s="1"/>
      <c r="AL14" s="1">
        <v>1.5</v>
      </c>
      <c r="AM14" s="1">
        <v>2</v>
      </c>
      <c r="AN14" s="1"/>
      <c r="AO14" s="1"/>
      <c r="AP14" s="1" t="s">
        <v>79</v>
      </c>
      <c r="AQ14" s="1" t="s">
        <v>79</v>
      </c>
      <c r="AR14" s="2"/>
    </row>
    <row r="15" spans="1:44" ht="18" customHeight="1">
      <c r="B15" s="17"/>
      <c r="C15" s="1" t="s">
        <v>1</v>
      </c>
      <c r="D15" s="1" t="s">
        <v>1</v>
      </c>
      <c r="E15" s="1">
        <v>1</v>
      </c>
      <c r="F15" s="1">
        <v>1</v>
      </c>
      <c r="G15" s="1"/>
      <c r="H15" s="1"/>
      <c r="I15" s="1"/>
      <c r="J15" s="1">
        <v>3</v>
      </c>
      <c r="K15" s="8" t="str">
        <f>CustomFormatWbsIdx(B15,E15,F15,G15,H15,I15,J15)</f>
        <v>001.001.---.---.---.003</v>
      </c>
      <c r="L15" s="8">
        <v>1</v>
      </c>
      <c r="M15" s="8">
        <f>CustomFuncGetLevel(E15,F15,G15,H15,I15)</f>
        <v>2</v>
      </c>
      <c r="N15" s="8" t="b">
        <f>AND(J15&lt;&gt;"",ISNUMBER(J15))</f>
        <v>1</v>
      </c>
      <c r="O15" s="8" t="b">
        <f>NOT(OR(AB15="削除",AB15="移管済",AB15="棚上げ",AB15="却下"))</f>
        <v>1</v>
      </c>
      <c r="P15" s="8" t="b">
        <v>1</v>
      </c>
      <c r="Q15" s="8" t="b">
        <v>0</v>
      </c>
      <c r="R15" s="8" t="str">
        <f>CustomFormatWbsId(B15,E15,F15,G15,H15,I15,J15)</f>
        <v>1.1.T3</v>
      </c>
      <c r="S15" s="2"/>
      <c r="T15" s="2"/>
      <c r="U15" s="2"/>
      <c r="V15" s="2"/>
      <c r="W15" s="2"/>
      <c r="X15" s="2" t="s">
        <v>61</v>
      </c>
      <c r="Y15" s="2"/>
      <c r="Z15" s="7">
        <v>1</v>
      </c>
      <c r="AA15" s="7">
        <v>0</v>
      </c>
      <c r="AB15" s="1" t="s">
        <v>79</v>
      </c>
      <c r="AC15" s="1">
        <v>0.33333333333333331</v>
      </c>
      <c r="AD15" s="3">
        <v>0</v>
      </c>
      <c r="AE15" s="1">
        <v>1</v>
      </c>
      <c r="AF15" s="1" t="s">
        <v>79</v>
      </c>
      <c r="AG15" s="1" t="s">
        <v>79</v>
      </c>
      <c r="AH15" s="4"/>
      <c r="AI15" s="1">
        <v>1.5</v>
      </c>
      <c r="AJ15" s="1"/>
      <c r="AK15" s="1"/>
      <c r="AL15" s="1">
        <v>1</v>
      </c>
      <c r="AM15" s="1">
        <v>0.5</v>
      </c>
      <c r="AN15" s="1"/>
      <c r="AO15" s="1"/>
      <c r="AP15" s="1" t="s">
        <v>79</v>
      </c>
      <c r="AQ15" s="1" t="s">
        <v>79</v>
      </c>
      <c r="AR15" s="2"/>
    </row>
    <row r="16" spans="1:44" ht="18" customHeight="1">
      <c r="B16" s="17"/>
      <c r="C16" s="1" t="s">
        <v>1</v>
      </c>
      <c r="D16" s="1" t="s">
        <v>1</v>
      </c>
      <c r="E16" s="1">
        <v>1</v>
      </c>
      <c r="F16" s="1">
        <v>1</v>
      </c>
      <c r="G16" s="1">
        <v>1</v>
      </c>
      <c r="H16" s="1"/>
      <c r="I16" s="1"/>
      <c r="J16" s="1"/>
      <c r="K16" s="8" t="str">
        <f>CustomFormatWbsIdx(B16,E16,F16,G16,H16,I16,J16)</f>
        <v>001.001.001.---.---.---</v>
      </c>
      <c r="L16" s="8">
        <v>1</v>
      </c>
      <c r="M16" s="8">
        <f>CustomFuncGetLevel(E16,F16,G16,H16,I16)</f>
        <v>3</v>
      </c>
      <c r="N16" s="8" t="b">
        <f>AND(J16&lt;&gt;"",ISNUMBER(J16))</f>
        <v>0</v>
      </c>
      <c r="O16" s="8" t="b">
        <f>NOT(OR(AB16="削除",AB16="移管済",AB16="棚上げ",AB16="却下"))</f>
        <v>1</v>
      </c>
      <c r="P16" s="8" t="b">
        <v>1</v>
      </c>
      <c r="Q16" s="8" t="b">
        <v>1</v>
      </c>
      <c r="R16" s="8" t="str">
        <f>CustomFormatWbsId(B16,E16,F16,G16,H16,I16,J16)</f>
        <v>1.1.1</v>
      </c>
      <c r="S16" s="2"/>
      <c r="T16" s="2"/>
      <c r="U16" s="2" t="s">
        <v>62</v>
      </c>
      <c r="V16" s="2"/>
      <c r="W16" s="2"/>
      <c r="X16" s="2"/>
      <c r="Y16" s="2"/>
      <c r="Z16" s="7">
        <v>20</v>
      </c>
      <c r="AA16" s="7">
        <v>2</v>
      </c>
      <c r="AB16" s="1" t="s">
        <v>79</v>
      </c>
      <c r="AC16" s="1">
        <v>0.48619047619047617</v>
      </c>
      <c r="AD16" s="3">
        <v>0.55274285666431699</v>
      </c>
      <c r="AE16" s="1">
        <v>1</v>
      </c>
      <c r="AF16" s="1" t="s">
        <v>79</v>
      </c>
      <c r="AG16" s="1" t="s">
        <v>79</v>
      </c>
      <c r="AH16" s="4"/>
      <c r="AI16" s="1">
        <v>23.5</v>
      </c>
      <c r="AJ16" s="1"/>
      <c r="AK16" s="1"/>
      <c r="AL16" s="1">
        <v>21.5</v>
      </c>
      <c r="AM16" s="1">
        <v>23.5</v>
      </c>
      <c r="AN16" s="1"/>
      <c r="AO16" s="1"/>
      <c r="AP16" s="1" t="s">
        <v>79</v>
      </c>
      <c r="AQ16" s="1" t="s">
        <v>79</v>
      </c>
      <c r="AR16" s="2"/>
    </row>
    <row r="17" spans="2:44" ht="18" customHeight="1">
      <c r="B17" s="17"/>
      <c r="C17" s="1" t="s">
        <v>1</v>
      </c>
      <c r="D17" s="1" t="s">
        <v>1</v>
      </c>
      <c r="E17" s="1">
        <v>1</v>
      </c>
      <c r="F17" s="1">
        <v>1</v>
      </c>
      <c r="G17" s="1">
        <v>1</v>
      </c>
      <c r="H17" s="1"/>
      <c r="I17" s="1"/>
      <c r="J17" s="1">
        <v>1</v>
      </c>
      <c r="K17" s="8" t="str">
        <f>CustomFormatWbsIdx(B17,E17,F17,G17,H17,I17,J17)</f>
        <v>001.001.001.---.---.001</v>
      </c>
      <c r="L17" s="8">
        <v>1</v>
      </c>
      <c r="M17" s="8">
        <f>CustomFuncGetLevel(E17,F17,G17,H17,I17)</f>
        <v>3</v>
      </c>
      <c r="N17" s="8" t="b">
        <f>AND(J17&lt;&gt;"",ISNUMBER(J17))</f>
        <v>1</v>
      </c>
      <c r="O17" s="8" t="b">
        <f>NOT(OR(AB17="削除",AB17="移管済",AB17="棚上げ",AB17="却下"))</f>
        <v>0</v>
      </c>
      <c r="P17" s="8" t="b">
        <v>1</v>
      </c>
      <c r="Q17" s="8" t="b">
        <v>0</v>
      </c>
      <c r="R17" s="8" t="str">
        <f>CustomFormatWbsId(B17,E17,F17,G17,H17,I17,J17)</f>
        <v>1.1.1.T1</v>
      </c>
      <c r="S17" s="2"/>
      <c r="T17" s="2"/>
      <c r="U17" s="2"/>
      <c r="V17" s="2"/>
      <c r="W17" s="2"/>
      <c r="X17" s="2" t="s">
        <v>63</v>
      </c>
      <c r="Y17" s="2"/>
      <c r="Z17" s="7">
        <v>1</v>
      </c>
      <c r="AA17" s="7">
        <v>0</v>
      </c>
      <c r="AB17" s="1" t="s">
        <v>82</v>
      </c>
      <c r="AC17" s="1">
        <v>0.8</v>
      </c>
      <c r="AD17" s="3">
        <v>0.60000002384185791</v>
      </c>
      <c r="AE17" s="1">
        <v>2</v>
      </c>
      <c r="AF17" s="1" t="s">
        <v>79</v>
      </c>
      <c r="AG17" s="1" t="s">
        <v>79</v>
      </c>
      <c r="AH17" s="4"/>
      <c r="AI17" s="1">
        <v>0.5</v>
      </c>
      <c r="AJ17" s="1"/>
      <c r="AK17" s="1"/>
      <c r="AL17" s="1">
        <v>0.5</v>
      </c>
      <c r="AM17" s="1">
        <v>2</v>
      </c>
      <c r="AN17" s="1"/>
      <c r="AO17" s="1"/>
      <c r="AP17" s="1" t="s">
        <v>79</v>
      </c>
      <c r="AQ17" s="1" t="s">
        <v>79</v>
      </c>
      <c r="AR17" s="2"/>
    </row>
    <row r="18" spans="2:44" ht="18" customHeight="1">
      <c r="B18" s="17"/>
      <c r="C18" s="1" t="s">
        <v>1</v>
      </c>
      <c r="D18" s="1" t="s">
        <v>1</v>
      </c>
      <c r="E18" s="1">
        <v>1</v>
      </c>
      <c r="F18" s="1">
        <v>1</v>
      </c>
      <c r="G18" s="1">
        <v>1</v>
      </c>
      <c r="H18" s="1"/>
      <c r="I18" s="1"/>
      <c r="J18" s="1">
        <v>2</v>
      </c>
      <c r="K18" s="8" t="str">
        <f>CustomFormatWbsIdx(B18,E18,F18,G18,H18,I18,J18)</f>
        <v>001.001.001.---.---.002</v>
      </c>
      <c r="L18" s="8">
        <v>1</v>
      </c>
      <c r="M18" s="8">
        <f>CustomFuncGetLevel(E18,F18,G18,H18,I18)</f>
        <v>3</v>
      </c>
      <c r="N18" s="8" t="b">
        <f>AND(J18&lt;&gt;"",ISNUMBER(J18))</f>
        <v>1</v>
      </c>
      <c r="O18" s="8" t="b">
        <f>NOT(OR(AB18="削除",AB18="移管済",AB18="棚上げ",AB18="却下"))</f>
        <v>1</v>
      </c>
      <c r="P18" s="8" t="b">
        <v>1</v>
      </c>
      <c r="Q18" s="8" t="b">
        <v>0</v>
      </c>
      <c r="R18" s="8" t="str">
        <f>CustomFormatWbsId(B18,E18,F18,G18,H18,I18,J18)</f>
        <v>1.1.1.T2</v>
      </c>
      <c r="S18" s="2"/>
      <c r="T18" s="2"/>
      <c r="U18" s="2"/>
      <c r="V18" s="2"/>
      <c r="W18" s="2"/>
      <c r="X18" s="2" t="s">
        <v>64</v>
      </c>
      <c r="Y18" s="2"/>
      <c r="Z18" s="7">
        <v>1</v>
      </c>
      <c r="AA18" s="7">
        <v>0</v>
      </c>
      <c r="AB18" s="1" t="s">
        <v>83</v>
      </c>
      <c r="AC18" s="1">
        <v>0.5</v>
      </c>
      <c r="AD18" s="3">
        <v>0.89999997615814209</v>
      </c>
      <c r="AE18" s="1">
        <v>1</v>
      </c>
      <c r="AF18" s="1" t="s">
        <v>79</v>
      </c>
      <c r="AG18" s="1" t="s">
        <v>79</v>
      </c>
      <c r="AH18" s="4"/>
      <c r="AI18" s="1">
        <v>1.5</v>
      </c>
      <c r="AJ18" s="1"/>
      <c r="AK18" s="1"/>
      <c r="AL18" s="1">
        <v>2.5</v>
      </c>
      <c r="AM18" s="1">
        <v>2.5</v>
      </c>
      <c r="AN18" s="1"/>
      <c r="AO18" s="1"/>
      <c r="AP18" s="1" t="s">
        <v>79</v>
      </c>
      <c r="AQ18" s="1" t="s">
        <v>79</v>
      </c>
      <c r="AR18" s="2"/>
    </row>
    <row r="19" spans="2:44" ht="18" customHeight="1">
      <c r="B19" s="17"/>
      <c r="C19" s="1" t="s">
        <v>1</v>
      </c>
      <c r="D19" s="1" t="s">
        <v>1</v>
      </c>
      <c r="E19" s="1">
        <v>1</v>
      </c>
      <c r="F19" s="1">
        <v>1</v>
      </c>
      <c r="G19" s="1">
        <v>1</v>
      </c>
      <c r="H19" s="1"/>
      <c r="I19" s="1"/>
      <c r="J19" s="1">
        <v>3</v>
      </c>
      <c r="K19" s="8" t="str">
        <f>CustomFormatWbsIdx(B19,E19,F19,G19,H19,I19,J19)</f>
        <v>001.001.001.---.---.003</v>
      </c>
      <c r="L19" s="8">
        <v>1</v>
      </c>
      <c r="M19" s="8">
        <f>CustomFuncGetLevel(E19,F19,G19,H19,I19)</f>
        <v>3</v>
      </c>
      <c r="N19" s="8" t="b">
        <f>AND(J19&lt;&gt;"",ISNUMBER(J19))</f>
        <v>1</v>
      </c>
      <c r="O19" s="8" t="b">
        <f>NOT(OR(AB19="削除",AB19="移管済",AB19="棚上げ",AB19="却下"))</f>
        <v>1</v>
      </c>
      <c r="P19" s="8" t="b">
        <v>1</v>
      </c>
      <c r="Q19" s="8" t="b">
        <v>0</v>
      </c>
      <c r="R19" s="8" t="str">
        <f>CustomFormatWbsId(B19,E19,F19,G19,H19,I19,J19)</f>
        <v>1.1.1.T3</v>
      </c>
      <c r="S19" s="2"/>
      <c r="T19" s="2"/>
      <c r="U19" s="2"/>
      <c r="V19" s="2"/>
      <c r="W19" s="2"/>
      <c r="X19" s="2" t="s">
        <v>65</v>
      </c>
      <c r="Y19" s="2"/>
      <c r="Z19" s="7">
        <v>1</v>
      </c>
      <c r="AA19" s="7">
        <v>0</v>
      </c>
      <c r="AB19" s="1" t="s">
        <v>79</v>
      </c>
      <c r="AC19" s="1">
        <v>0.16666666666666666</v>
      </c>
      <c r="AD19" s="3">
        <v>0.20000000298023224</v>
      </c>
      <c r="AE19" s="1">
        <v>1</v>
      </c>
      <c r="AF19" s="1" t="s">
        <v>79</v>
      </c>
      <c r="AG19" s="1" t="s">
        <v>79</v>
      </c>
      <c r="AH19" s="4"/>
      <c r="AI19" s="1">
        <v>2</v>
      </c>
      <c r="AJ19" s="1"/>
      <c r="AK19" s="1"/>
      <c r="AL19" s="1">
        <v>2.5</v>
      </c>
      <c r="AM19" s="1">
        <v>0.5</v>
      </c>
      <c r="AN19" s="1"/>
      <c r="AO19" s="1"/>
      <c r="AP19" s="1" t="s">
        <v>79</v>
      </c>
      <c r="AQ19" s="1" t="s">
        <v>79</v>
      </c>
      <c r="AR19" s="2"/>
    </row>
    <row r="20" spans="2:44" ht="18" customHeight="1">
      <c r="B20" s="17"/>
      <c r="C20" s="1" t="s">
        <v>1</v>
      </c>
      <c r="D20" s="1" t="s">
        <v>1</v>
      </c>
      <c r="E20" s="1">
        <v>1</v>
      </c>
      <c r="F20" s="1">
        <v>1</v>
      </c>
      <c r="G20" s="1">
        <v>1</v>
      </c>
      <c r="H20" s="1">
        <v>1</v>
      </c>
      <c r="I20" s="1"/>
      <c r="J20" s="1"/>
      <c r="K20" s="8" t="str">
        <f>CustomFormatWbsIdx(B20,E20,F20,G20,H20,I20,J20)</f>
        <v>001.001.001.001.---.---</v>
      </c>
      <c r="L20" s="8">
        <v>1</v>
      </c>
      <c r="M20" s="8">
        <f>CustomFuncGetLevel(E20,F20,G20,H20,I20)</f>
        <v>4</v>
      </c>
      <c r="N20" s="8" t="b">
        <f>AND(J20&lt;&gt;"",ISNUMBER(J20))</f>
        <v>0</v>
      </c>
      <c r="O20" s="8" t="b">
        <f>NOT(OR(AB20="削除",AB20="移管済",AB20="棚上げ",AB20="却下"))</f>
        <v>1</v>
      </c>
      <c r="P20" s="8" t="b">
        <v>1</v>
      </c>
      <c r="Q20" s="8" t="b">
        <v>1</v>
      </c>
      <c r="R20" s="8" t="str">
        <f>CustomFormatWbsId(B20,E20,F20,G20,H20,I20,J20)</f>
        <v>1.1.1.1</v>
      </c>
      <c r="S20" s="2"/>
      <c r="T20" s="2"/>
      <c r="U20" s="2"/>
      <c r="V20" s="2" t="s">
        <v>66</v>
      </c>
      <c r="W20" s="2"/>
      <c r="X20" s="2"/>
      <c r="Y20" s="2"/>
      <c r="Z20" s="7">
        <v>9</v>
      </c>
      <c r="AA20" s="7">
        <v>1</v>
      </c>
      <c r="AB20" s="1" t="s">
        <v>79</v>
      </c>
      <c r="AC20" s="1">
        <v>0.66873015873015873</v>
      </c>
      <c r="AD20" s="3">
        <v>0.54685715194259377</v>
      </c>
      <c r="AE20" s="1">
        <v>2</v>
      </c>
      <c r="AF20" s="1" t="s">
        <v>79</v>
      </c>
      <c r="AG20" s="1" t="s">
        <v>79</v>
      </c>
      <c r="AH20" s="4"/>
      <c r="AI20" s="1">
        <v>9</v>
      </c>
      <c r="AJ20" s="1"/>
      <c r="AK20" s="1"/>
      <c r="AL20" s="1">
        <v>7.5</v>
      </c>
      <c r="AM20" s="1">
        <v>10</v>
      </c>
      <c r="AN20" s="1"/>
      <c r="AO20" s="1"/>
      <c r="AP20" s="1" t="s">
        <v>79</v>
      </c>
      <c r="AQ20" s="1" t="s">
        <v>79</v>
      </c>
      <c r="AR20" s="2"/>
    </row>
    <row r="21" spans="2:44" ht="18" customHeight="1">
      <c r="B21" s="17"/>
      <c r="C21" s="1" t="s">
        <v>1</v>
      </c>
      <c r="D21" s="1" t="s">
        <v>1</v>
      </c>
      <c r="E21" s="1">
        <v>1</v>
      </c>
      <c r="F21" s="1">
        <v>1</v>
      </c>
      <c r="G21" s="1">
        <v>1</v>
      </c>
      <c r="H21" s="1">
        <v>1</v>
      </c>
      <c r="I21" s="1"/>
      <c r="J21" s="1">
        <v>1</v>
      </c>
      <c r="K21" s="8" t="str">
        <f>CustomFormatWbsIdx(B21,E21,F21,G21,H21,I21,J21)</f>
        <v>001.001.001.001.---.001</v>
      </c>
      <c r="L21" s="8">
        <v>1</v>
      </c>
      <c r="M21" s="8">
        <f>CustomFuncGetLevel(E21,F21,G21,H21,I21)</f>
        <v>4</v>
      </c>
      <c r="N21" s="8" t="b">
        <f>AND(J21&lt;&gt;"",ISNUMBER(J21))</f>
        <v>1</v>
      </c>
      <c r="O21" s="8" t="b">
        <f>NOT(OR(AB21="削除",AB21="移管済",AB21="棚上げ",AB21="却下"))</f>
        <v>1</v>
      </c>
      <c r="P21" s="8" t="b">
        <v>1</v>
      </c>
      <c r="Q21" s="8" t="b">
        <v>0</v>
      </c>
      <c r="R21" s="8" t="str">
        <f>CustomFormatWbsId(B21,E21,F21,G21,H21,I21,J21)</f>
        <v>1.1.1.1.T1</v>
      </c>
      <c r="S21" s="2"/>
      <c r="T21" s="2"/>
      <c r="U21" s="2"/>
      <c r="V21" s="2"/>
      <c r="W21" s="2"/>
      <c r="X21" s="2" t="s">
        <v>67</v>
      </c>
      <c r="Y21" s="2"/>
      <c r="Z21" s="7">
        <v>1</v>
      </c>
      <c r="AA21" s="7">
        <v>1</v>
      </c>
      <c r="AB21" s="1" t="s">
        <v>32</v>
      </c>
      <c r="AC21" s="1">
        <v>1</v>
      </c>
      <c r="AD21" s="3">
        <v>1</v>
      </c>
      <c r="AE21" s="1">
        <v>1</v>
      </c>
      <c r="AF21" s="1" t="s">
        <v>79</v>
      </c>
      <c r="AG21" s="1" t="s">
        <v>79</v>
      </c>
      <c r="AH21" s="4"/>
      <c r="AI21" s="1">
        <v>2.5</v>
      </c>
      <c r="AJ21" s="1"/>
      <c r="AK21" s="1"/>
      <c r="AL21" s="1">
        <v>0</v>
      </c>
      <c r="AM21" s="1">
        <v>2</v>
      </c>
      <c r="AN21" s="1"/>
      <c r="AO21" s="1"/>
      <c r="AP21" s="1" t="s">
        <v>79</v>
      </c>
      <c r="AQ21" s="1" t="s">
        <v>79</v>
      </c>
      <c r="AR21" s="2"/>
    </row>
    <row r="22" spans="2:44" ht="18" customHeight="1">
      <c r="B22" s="17"/>
      <c r="C22" s="1" t="s">
        <v>1</v>
      </c>
      <c r="D22" s="1" t="s">
        <v>1</v>
      </c>
      <c r="E22" s="1">
        <v>1</v>
      </c>
      <c r="F22" s="1">
        <v>1</v>
      </c>
      <c r="G22" s="1">
        <v>1</v>
      </c>
      <c r="H22" s="1">
        <v>1</v>
      </c>
      <c r="I22" s="1"/>
      <c r="J22" s="1">
        <v>2</v>
      </c>
      <c r="K22" s="8" t="str">
        <f>CustomFormatWbsIdx(B22,E22,F22,G22,H22,I22,J22)</f>
        <v>001.001.001.001.---.002</v>
      </c>
      <c r="L22" s="8">
        <v>1</v>
      </c>
      <c r="M22" s="8">
        <f>CustomFuncGetLevel(E22,F22,G22,H22,I22)</f>
        <v>4</v>
      </c>
      <c r="N22" s="8" t="b">
        <f>AND(J22&lt;&gt;"",ISNUMBER(J22))</f>
        <v>1</v>
      </c>
      <c r="O22" s="8" t="b">
        <f>NOT(OR(AB22="削除",AB22="移管済",AB22="棚上げ",AB22="却下"))</f>
        <v>1</v>
      </c>
      <c r="P22" s="8" t="b">
        <v>1</v>
      </c>
      <c r="Q22" s="8" t="b">
        <v>0</v>
      </c>
      <c r="R22" s="8" t="str">
        <f>CustomFormatWbsId(B22,E22,F22,G22,H22,I22,J22)</f>
        <v>1.1.1.1.T2</v>
      </c>
      <c r="S22" s="2"/>
      <c r="T22" s="2"/>
      <c r="U22" s="2"/>
      <c r="V22" s="2"/>
      <c r="W22" s="2"/>
      <c r="X22" s="2" t="s">
        <v>68</v>
      </c>
      <c r="Y22" s="2"/>
      <c r="Z22" s="7">
        <v>1</v>
      </c>
      <c r="AA22" s="7">
        <v>0</v>
      </c>
      <c r="AB22" s="1" t="s">
        <v>84</v>
      </c>
      <c r="AC22" s="1">
        <v>1</v>
      </c>
      <c r="AD22" s="3">
        <v>0.60000002384185791</v>
      </c>
      <c r="AE22" s="1">
        <v>1</v>
      </c>
      <c r="AF22" s="1" t="s">
        <v>79</v>
      </c>
      <c r="AG22" s="1" t="s">
        <v>79</v>
      </c>
      <c r="AH22" s="4"/>
      <c r="AI22" s="1">
        <v>0</v>
      </c>
      <c r="AJ22" s="1"/>
      <c r="AK22" s="1"/>
      <c r="AL22" s="1">
        <v>0</v>
      </c>
      <c r="AM22" s="1">
        <v>2</v>
      </c>
      <c r="AN22" s="1"/>
      <c r="AO22" s="1"/>
      <c r="AP22" s="1" t="s">
        <v>79</v>
      </c>
      <c r="AQ22" s="1" t="s">
        <v>79</v>
      </c>
      <c r="AR22" s="2"/>
    </row>
    <row r="23" spans="2:44" ht="18" customHeight="1">
      <c r="B23" s="17"/>
      <c r="C23" s="1" t="s">
        <v>1</v>
      </c>
      <c r="D23" s="1" t="s">
        <v>1</v>
      </c>
      <c r="E23" s="1">
        <v>1</v>
      </c>
      <c r="F23" s="1">
        <v>1</v>
      </c>
      <c r="G23" s="1">
        <v>1</v>
      </c>
      <c r="H23" s="1">
        <v>1</v>
      </c>
      <c r="I23" s="1"/>
      <c r="J23" s="1">
        <v>3</v>
      </c>
      <c r="K23" s="8" t="str">
        <f>CustomFormatWbsIdx(B23,E23,F23,G23,H23,I23,J23)</f>
        <v>001.001.001.001.---.003</v>
      </c>
      <c r="L23" s="8">
        <v>1</v>
      </c>
      <c r="M23" s="8">
        <f>CustomFuncGetLevel(E23,F23,G23,H23,I23)</f>
        <v>4</v>
      </c>
      <c r="N23" s="8" t="b">
        <f>AND(J23&lt;&gt;"",ISNUMBER(J23))</f>
        <v>1</v>
      </c>
      <c r="O23" s="8" t="b">
        <f>NOT(OR(AB23="削除",AB23="移管済",AB23="棚上げ",AB23="却下"))</f>
        <v>1</v>
      </c>
      <c r="P23" s="8" t="b">
        <v>1</v>
      </c>
      <c r="Q23" s="8" t="b">
        <v>0</v>
      </c>
      <c r="R23" s="8" t="str">
        <f>CustomFormatWbsId(B23,E23,F23,G23,H23,I23,J23)</f>
        <v>1.1.1.1.T3</v>
      </c>
      <c r="S23" s="2"/>
      <c r="T23" s="2"/>
      <c r="U23" s="2"/>
      <c r="V23" s="2"/>
      <c r="W23" s="2"/>
      <c r="X23" s="2" t="s">
        <v>69</v>
      </c>
      <c r="Y23" s="2"/>
      <c r="Z23" s="7">
        <v>1</v>
      </c>
      <c r="AA23" s="7">
        <v>0</v>
      </c>
      <c r="AB23" s="1" t="s">
        <v>79</v>
      </c>
      <c r="AC23" s="1">
        <v>0.66666666666666663</v>
      </c>
      <c r="AD23" s="3">
        <v>0.30000001192092896</v>
      </c>
      <c r="AE23" s="1">
        <v>1</v>
      </c>
      <c r="AF23" s="1" t="s">
        <v>79</v>
      </c>
      <c r="AG23" s="1" t="s">
        <v>79</v>
      </c>
      <c r="AH23" s="4"/>
      <c r="AI23" s="1">
        <v>0</v>
      </c>
      <c r="AJ23" s="1"/>
      <c r="AK23" s="1"/>
      <c r="AL23" s="1">
        <v>0.5</v>
      </c>
      <c r="AM23" s="1">
        <v>1</v>
      </c>
      <c r="AN23" s="1"/>
      <c r="AO23" s="1"/>
      <c r="AP23" s="1" t="s">
        <v>79</v>
      </c>
      <c r="AQ23" s="1" t="s">
        <v>79</v>
      </c>
      <c r="AR23" s="2"/>
    </row>
    <row r="24" spans="2:44" ht="18" customHeight="1">
      <c r="B24" s="17"/>
      <c r="C24" s="1" t="s">
        <v>1</v>
      </c>
      <c r="D24" s="1" t="s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/>
      <c r="K24" s="8" t="str">
        <f>CustomFormatWbsIdx(B24,E24,F24,G24,H24,I24,J24)</f>
        <v>001.001.001.001.001.---</v>
      </c>
      <c r="L24" s="8">
        <v>1</v>
      </c>
      <c r="M24" s="8">
        <f>CustomFuncGetLevel(E24,F24,G24,H24,I24)</f>
        <v>5</v>
      </c>
      <c r="N24" s="8" t="b">
        <f>AND(J24&lt;&gt;"",ISNUMBER(J24))</f>
        <v>0</v>
      </c>
      <c r="O24" s="8" t="b">
        <f>NOT(OR(AB24="削除",AB24="移管済",AB24="棚上げ",AB24="却下"))</f>
        <v>1</v>
      </c>
      <c r="P24" s="8" t="b">
        <v>1</v>
      </c>
      <c r="Q24" s="8" t="b">
        <v>1</v>
      </c>
      <c r="R24" s="8" t="str">
        <f>CustomFormatWbsId(B24,E24,F24,G24,H24,I24,J24)</f>
        <v>1.1.1.1.1</v>
      </c>
      <c r="S24" s="2"/>
      <c r="T24" s="2"/>
      <c r="U24" s="2"/>
      <c r="V24" s="2"/>
      <c r="W24" s="2" t="s">
        <v>70</v>
      </c>
      <c r="X24" s="2"/>
      <c r="Y24" s="2"/>
      <c r="Z24" s="7">
        <v>3</v>
      </c>
      <c r="AA24" s="7">
        <v>0</v>
      </c>
      <c r="AB24" s="1" t="s">
        <v>79</v>
      </c>
      <c r="AC24" s="1">
        <v>0.32777777777777778</v>
      </c>
      <c r="AD24" s="3">
        <v>0.31428572216204237</v>
      </c>
      <c r="AE24" s="1">
        <v>1</v>
      </c>
      <c r="AF24" s="1" t="s">
        <v>79</v>
      </c>
      <c r="AG24" s="1" t="s">
        <v>79</v>
      </c>
      <c r="AH24" s="4"/>
      <c r="AI24" s="1">
        <v>3</v>
      </c>
      <c r="AJ24" s="1"/>
      <c r="AK24" s="1"/>
      <c r="AL24" s="1">
        <v>4</v>
      </c>
      <c r="AM24" s="1">
        <v>2</v>
      </c>
      <c r="AN24" s="1"/>
      <c r="AO24" s="1"/>
      <c r="AP24" s="1" t="s">
        <v>79</v>
      </c>
      <c r="AQ24" s="1" t="s">
        <v>79</v>
      </c>
      <c r="AR24" s="2"/>
    </row>
    <row r="25" spans="2:44" ht="18" customHeight="1">
      <c r="B25" s="17"/>
      <c r="C25" s="1" t="s">
        <v>1</v>
      </c>
      <c r="D25" s="1" t="s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8" t="str">
        <f>CustomFormatWbsIdx(B25,E25,F25,G25,H25,I25,J25)</f>
        <v>001.001.001.001.001.001</v>
      </c>
      <c r="L25" s="8">
        <v>1</v>
      </c>
      <c r="M25" s="8">
        <f>CustomFuncGetLevel(E25,F25,G25,H25,I25)</f>
        <v>5</v>
      </c>
      <c r="N25" s="8" t="b">
        <f>AND(J25&lt;&gt;"",ISNUMBER(J25))</f>
        <v>1</v>
      </c>
      <c r="O25" s="8" t="b">
        <f>NOT(OR(AB25="削除",AB25="移管済",AB25="棚上げ",AB25="却下"))</f>
        <v>1</v>
      </c>
      <c r="P25" s="8" t="b">
        <v>1</v>
      </c>
      <c r="Q25" s="8" t="b">
        <v>0</v>
      </c>
      <c r="R25" s="8" t="str">
        <f>CustomFormatWbsId(B25,E25,F25,G25,H25,I25,J25)</f>
        <v>1.1.1.1.1.T1</v>
      </c>
      <c r="S25" s="2"/>
      <c r="T25" s="2"/>
      <c r="U25" s="2"/>
      <c r="V25" s="2"/>
      <c r="W25" s="2"/>
      <c r="X25" s="2" t="s">
        <v>71</v>
      </c>
      <c r="Y25" s="2"/>
      <c r="Z25" s="7">
        <v>1</v>
      </c>
      <c r="AA25" s="7">
        <v>0</v>
      </c>
      <c r="AB25" s="1" t="s">
        <v>79</v>
      </c>
      <c r="AC25" s="1">
        <v>0.33333333333333331</v>
      </c>
      <c r="AD25" s="3">
        <v>0.30000001192092896</v>
      </c>
      <c r="AE25" s="1">
        <v>3</v>
      </c>
      <c r="AF25" s="1" t="s">
        <v>79</v>
      </c>
      <c r="AG25" s="1" t="s">
        <v>79</v>
      </c>
      <c r="AH25" s="4"/>
      <c r="AI25" s="1">
        <v>2.5</v>
      </c>
      <c r="AJ25" s="1"/>
      <c r="AK25" s="1"/>
      <c r="AL25" s="1">
        <v>1</v>
      </c>
      <c r="AM25" s="1">
        <v>0.5</v>
      </c>
      <c r="AN25" s="1"/>
      <c r="AO25" s="1"/>
      <c r="AP25" s="1" t="s">
        <v>79</v>
      </c>
      <c r="AQ25" s="1" t="s">
        <v>79</v>
      </c>
      <c r="AR25" s="2"/>
    </row>
    <row r="26" spans="2:44" ht="18" customHeight="1">
      <c r="B26" s="17"/>
      <c r="C26" s="1" t="s">
        <v>1</v>
      </c>
      <c r="D26" s="1" t="s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2</v>
      </c>
      <c r="K26" s="8" t="str">
        <f>CustomFormatWbsIdx(B26,E26,F26,G26,H26,I26,J26)</f>
        <v>001.001.001.001.001.002</v>
      </c>
      <c r="L26" s="8">
        <v>1</v>
      </c>
      <c r="M26" s="8">
        <f>CustomFuncGetLevel(E26,F26,G26,H26,I26)</f>
        <v>5</v>
      </c>
      <c r="N26" s="8" t="b">
        <f>AND(J26&lt;&gt;"",ISNUMBER(J26))</f>
        <v>1</v>
      </c>
      <c r="O26" s="8" t="b">
        <f>NOT(OR(AB26="削除",AB26="移管済",AB26="棚上げ",AB26="却下"))</f>
        <v>1</v>
      </c>
      <c r="P26" s="8" t="b">
        <v>1</v>
      </c>
      <c r="Q26" s="8" t="b">
        <v>0</v>
      </c>
      <c r="R26" s="8" t="str">
        <f>CustomFormatWbsId(B26,E26,F26,G26,H26,I26,J26)</f>
        <v>1.1.1.1.1.T2</v>
      </c>
      <c r="S26" s="2"/>
      <c r="T26" s="2"/>
      <c r="U26" s="2"/>
      <c r="V26" s="2"/>
      <c r="W26" s="2"/>
      <c r="X26" s="2" t="s">
        <v>72</v>
      </c>
      <c r="Y26" s="2"/>
      <c r="Z26" s="7">
        <v>1</v>
      </c>
      <c r="AA26" s="7">
        <v>0</v>
      </c>
      <c r="AB26" s="1" t="s">
        <v>79</v>
      </c>
      <c r="AC26" s="1">
        <v>0.4</v>
      </c>
      <c r="AD26" s="3">
        <v>0.10000000149011612</v>
      </c>
      <c r="AE26" s="1">
        <v>1</v>
      </c>
      <c r="AF26" s="1" t="s">
        <v>79</v>
      </c>
      <c r="AG26" s="1" t="s">
        <v>79</v>
      </c>
      <c r="AH26" s="4"/>
      <c r="AI26" s="1">
        <v>0</v>
      </c>
      <c r="AJ26" s="1"/>
      <c r="AK26" s="1"/>
      <c r="AL26" s="1">
        <v>1.5</v>
      </c>
      <c r="AM26" s="1">
        <v>1</v>
      </c>
      <c r="AN26" s="1"/>
      <c r="AO26" s="1"/>
      <c r="AP26" s="1" t="s">
        <v>79</v>
      </c>
      <c r="AQ26" s="1" t="s">
        <v>79</v>
      </c>
      <c r="AR26" s="2"/>
    </row>
    <row r="27" spans="2:44" ht="18" customHeight="1">
      <c r="B27" s="17"/>
      <c r="C27" s="1" t="s">
        <v>1</v>
      </c>
      <c r="D27" s="1" t="s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  <c r="J27" s="1">
        <v>3</v>
      </c>
      <c r="K27" s="8" t="str">
        <f>CustomFormatWbsIdx(B27,E27,F27,G27,H27,I27,J27)</f>
        <v>001.001.001.001.001.003</v>
      </c>
      <c r="L27" s="8">
        <v>1</v>
      </c>
      <c r="M27" s="8">
        <f>CustomFuncGetLevel(E27,F27,G27,H27,I27)</f>
        <v>5</v>
      </c>
      <c r="N27" s="8" t="b">
        <f>AND(J27&lt;&gt;"",ISNUMBER(J27))</f>
        <v>1</v>
      </c>
      <c r="O27" s="8" t="b">
        <f>NOT(OR(AB27="削除",AB27="移管済",AB27="棚上げ",AB27="却下"))</f>
        <v>1</v>
      </c>
      <c r="P27" s="8" t="b">
        <v>1</v>
      </c>
      <c r="Q27" s="8" t="b">
        <v>0</v>
      </c>
      <c r="R27" s="8" t="str">
        <f>CustomFormatWbsId(B27,E27,F27,G27,H27,I27,J27)</f>
        <v>1.1.1.1.1.T3</v>
      </c>
      <c r="S27" s="2"/>
      <c r="T27" s="2"/>
      <c r="U27" s="2"/>
      <c r="V27" s="2"/>
      <c r="W27" s="2"/>
      <c r="X27" s="2"/>
      <c r="Y27" s="2"/>
      <c r="Z27" s="7">
        <v>1</v>
      </c>
      <c r="AA27" s="7">
        <v>0</v>
      </c>
      <c r="AB27" s="1" t="s">
        <v>79</v>
      </c>
      <c r="AC27" s="1">
        <v>0.25</v>
      </c>
      <c r="AD27" s="3">
        <v>0.40000000596046448</v>
      </c>
      <c r="AE27" s="1">
        <v>3</v>
      </c>
      <c r="AF27" s="1" t="s">
        <v>79</v>
      </c>
      <c r="AG27" s="1" t="s">
        <v>79</v>
      </c>
      <c r="AH27" s="4"/>
      <c r="AI27" s="1">
        <v>0.5</v>
      </c>
      <c r="AJ27" s="1"/>
      <c r="AK27" s="1"/>
      <c r="AL27" s="1">
        <v>1.5</v>
      </c>
      <c r="AM27" s="1">
        <v>0.5</v>
      </c>
      <c r="AN27" s="1"/>
      <c r="AO27" s="1"/>
      <c r="AP27" s="1" t="s">
        <v>79</v>
      </c>
      <c r="AQ27" s="1" t="s">
        <v>79</v>
      </c>
      <c r="AR27" s="2"/>
    </row>
    <row r="28" spans="2:44" ht="18" customHeight="1">
      <c r="B28" s="17"/>
      <c r="C28" s="1" t="s">
        <v>1</v>
      </c>
      <c r="D28" s="1" t="s">
        <v>1</v>
      </c>
      <c r="E28" s="1">
        <v>1</v>
      </c>
      <c r="F28" s="1">
        <v>1</v>
      </c>
      <c r="G28" s="1">
        <v>1</v>
      </c>
      <c r="H28" s="1">
        <v>1</v>
      </c>
      <c r="I28" s="1">
        <v>2</v>
      </c>
      <c r="J28" s="1"/>
      <c r="K28" s="8" t="str">
        <f>CustomFormatWbsIdx(B28,E28,F28,G28,H28,I28,J28)</f>
        <v>001.001.001.001.002.---</v>
      </c>
      <c r="L28" s="8">
        <v>1</v>
      </c>
      <c r="M28" s="8">
        <f>CustomFuncGetLevel(E28,F28,G28,H28,I28)</f>
        <v>5</v>
      </c>
      <c r="N28" s="8" t="b">
        <f>AND(J28&lt;&gt;"",ISNUMBER(J28))</f>
        <v>0</v>
      </c>
      <c r="O28" s="8" t="b">
        <f>NOT(OR(AB28="削除",AB28="移管済",AB28="棚上げ",AB28="却下"))</f>
        <v>1</v>
      </c>
      <c r="P28" s="8" t="b">
        <v>1</v>
      </c>
      <c r="Q28" s="8" t="b">
        <v>1</v>
      </c>
      <c r="R28" s="8" t="str">
        <f>CustomFormatWbsId(B28,E28,F28,G28,H28,I28,J28)</f>
        <v>1.1.1.1.2</v>
      </c>
      <c r="S28" s="2"/>
      <c r="T28" s="2"/>
      <c r="U28" s="2"/>
      <c r="V28" s="2"/>
      <c r="W28" s="2"/>
      <c r="X28" s="2"/>
      <c r="Y28" s="2"/>
      <c r="Z28" s="7">
        <v>3</v>
      </c>
      <c r="AA28" s="7">
        <v>0</v>
      </c>
      <c r="AB28" s="1" t="s">
        <v>79</v>
      </c>
      <c r="AC28" s="1">
        <v>0.34920634920634924</v>
      </c>
      <c r="AD28" s="3">
        <v>0.52000000178813932</v>
      </c>
      <c r="AE28" s="1">
        <v>1</v>
      </c>
      <c r="AF28" s="1" t="s">
        <v>79</v>
      </c>
      <c r="AG28" s="1" t="s">
        <v>79</v>
      </c>
      <c r="AH28" s="4"/>
      <c r="AI28" s="1">
        <v>3.5</v>
      </c>
      <c r="AJ28" s="1"/>
      <c r="AK28" s="1"/>
      <c r="AL28" s="1">
        <v>3</v>
      </c>
      <c r="AM28" s="1">
        <v>3</v>
      </c>
      <c r="AN28" s="1"/>
      <c r="AO28" s="1"/>
      <c r="AP28" s="1" t="s">
        <v>79</v>
      </c>
      <c r="AQ28" s="1" t="s">
        <v>79</v>
      </c>
      <c r="AR28" s="2"/>
    </row>
    <row r="29" spans="2:44" ht="18" customHeight="1">
      <c r="B29" s="17"/>
      <c r="C29" s="1" t="s">
        <v>1</v>
      </c>
      <c r="D29" s="1" t="s">
        <v>1</v>
      </c>
      <c r="E29" s="1">
        <v>1</v>
      </c>
      <c r="F29" s="1">
        <v>1</v>
      </c>
      <c r="G29" s="1">
        <v>1</v>
      </c>
      <c r="H29" s="1">
        <v>1</v>
      </c>
      <c r="I29" s="1">
        <v>2</v>
      </c>
      <c r="J29" s="1">
        <v>1</v>
      </c>
      <c r="K29" s="8" t="str">
        <f>CustomFormatWbsIdx(B29,E29,F29,G29,H29,I29,J29)</f>
        <v>001.001.001.001.002.001</v>
      </c>
      <c r="L29" s="8">
        <v>1</v>
      </c>
      <c r="M29" s="8">
        <f>CustomFuncGetLevel(E29,F29,G29,H29,I29)</f>
        <v>5</v>
      </c>
      <c r="N29" s="8" t="b">
        <f>AND(J29&lt;&gt;"",ISNUMBER(J29))</f>
        <v>1</v>
      </c>
      <c r="O29" s="8" t="b">
        <f>NOT(OR(AB29="削除",AB29="移管済",AB29="棚上げ",AB29="却下"))</f>
        <v>1</v>
      </c>
      <c r="P29" s="8" t="b">
        <v>1</v>
      </c>
      <c r="Q29" s="8" t="b">
        <v>0</v>
      </c>
      <c r="R29" s="8" t="str">
        <f>CustomFormatWbsId(B29,E29,F29,G29,H29,I29,J29)</f>
        <v>1.1.1.1.2.T1</v>
      </c>
      <c r="S29" s="2"/>
      <c r="T29" s="2"/>
      <c r="U29" s="2"/>
      <c r="V29" s="2"/>
      <c r="W29" s="2"/>
      <c r="X29" s="2" t="s">
        <v>71</v>
      </c>
      <c r="Y29" s="2"/>
      <c r="Z29" s="7">
        <v>1</v>
      </c>
      <c r="AA29" s="7">
        <v>0</v>
      </c>
      <c r="AB29" s="1" t="s">
        <v>79</v>
      </c>
      <c r="AC29" s="1">
        <v>0.7142857142857143</v>
      </c>
      <c r="AD29" s="3">
        <v>0.20000000298023224</v>
      </c>
      <c r="AE29" s="1">
        <v>2</v>
      </c>
      <c r="AF29" s="1" t="s">
        <v>79</v>
      </c>
      <c r="AG29" s="1" t="s">
        <v>79</v>
      </c>
      <c r="AH29" s="4"/>
      <c r="AI29" s="1">
        <v>0</v>
      </c>
      <c r="AJ29" s="1"/>
      <c r="AK29" s="1"/>
      <c r="AL29" s="1">
        <v>1</v>
      </c>
      <c r="AM29" s="1">
        <v>2.5</v>
      </c>
      <c r="AN29" s="1"/>
      <c r="AO29" s="1"/>
      <c r="AP29" s="1" t="s">
        <v>79</v>
      </c>
      <c r="AQ29" s="1" t="s">
        <v>79</v>
      </c>
      <c r="AR29" s="2"/>
    </row>
    <row r="30" spans="2:44" ht="18" customHeight="1">
      <c r="B30" s="17"/>
      <c r="C30" s="1" t="s">
        <v>1</v>
      </c>
      <c r="D30" s="1" t="s">
        <v>1</v>
      </c>
      <c r="E30" s="1">
        <v>1</v>
      </c>
      <c r="F30" s="1">
        <v>1</v>
      </c>
      <c r="G30" s="1">
        <v>1</v>
      </c>
      <c r="H30" s="1">
        <v>1</v>
      </c>
      <c r="I30" s="1">
        <v>2</v>
      </c>
      <c r="J30" s="1">
        <v>2</v>
      </c>
      <c r="K30" s="8" t="str">
        <f>CustomFormatWbsIdx(B30,E30,F30,G30,H30,I30,J30)</f>
        <v>001.001.001.001.002.002</v>
      </c>
      <c r="L30" s="8">
        <v>1</v>
      </c>
      <c r="M30" s="8">
        <f>CustomFuncGetLevel(E30,F30,G30,H30,I30)</f>
        <v>5</v>
      </c>
      <c r="N30" s="8" t="b">
        <f>AND(J30&lt;&gt;"",ISNUMBER(J30))</f>
        <v>1</v>
      </c>
      <c r="O30" s="8" t="b">
        <f>NOT(OR(AB30="削除",AB30="移管済",AB30="棚上げ",AB30="却下"))</f>
        <v>1</v>
      </c>
      <c r="P30" s="8" t="b">
        <v>1</v>
      </c>
      <c r="Q30" s="8" t="b">
        <v>0</v>
      </c>
      <c r="R30" s="8" t="str">
        <f>CustomFormatWbsId(B30,E30,F30,G30,H30,I30,J30)</f>
        <v>1.1.1.1.2.T2</v>
      </c>
      <c r="S30" s="2"/>
      <c r="T30" s="2"/>
      <c r="U30" s="2"/>
      <c r="V30" s="2"/>
      <c r="W30" s="2"/>
      <c r="X30" s="2" t="s">
        <v>72</v>
      </c>
      <c r="Y30" s="2"/>
      <c r="Z30" s="7">
        <v>1</v>
      </c>
      <c r="AA30" s="7">
        <v>0</v>
      </c>
      <c r="AB30" s="1" t="s">
        <v>79</v>
      </c>
      <c r="AC30" s="1">
        <v>0.33333333333333331</v>
      </c>
      <c r="AD30" s="3">
        <v>0.20000000298023224</v>
      </c>
      <c r="AE30" s="1">
        <v>1</v>
      </c>
      <c r="AF30" s="1" t="s">
        <v>79</v>
      </c>
      <c r="AG30" s="1" t="s">
        <v>79</v>
      </c>
      <c r="AH30" s="4"/>
      <c r="AI30" s="1">
        <v>2</v>
      </c>
      <c r="AJ30" s="1"/>
      <c r="AK30" s="1"/>
      <c r="AL30" s="1">
        <v>1</v>
      </c>
      <c r="AM30" s="1">
        <v>0.5</v>
      </c>
      <c r="AN30" s="1"/>
      <c r="AO30" s="1"/>
      <c r="AP30" s="1" t="s">
        <v>79</v>
      </c>
      <c r="AQ30" s="1" t="s">
        <v>79</v>
      </c>
      <c r="AR30" s="2"/>
    </row>
    <row r="31" spans="2:44" ht="18" customHeight="1">
      <c r="B31" s="17"/>
      <c r="C31" s="1" t="s">
        <v>1</v>
      </c>
      <c r="D31" s="1" t="s">
        <v>1</v>
      </c>
      <c r="E31" s="1">
        <v>1</v>
      </c>
      <c r="F31" s="1">
        <v>1</v>
      </c>
      <c r="G31" s="1">
        <v>1</v>
      </c>
      <c r="H31" s="1">
        <v>1</v>
      </c>
      <c r="I31" s="1">
        <v>2</v>
      </c>
      <c r="J31" s="1">
        <v>3</v>
      </c>
      <c r="K31" s="8" t="str">
        <f>CustomFormatWbsIdx(B31,E31,F31,G31,H31,I31,J31)</f>
        <v>001.001.001.001.002.003</v>
      </c>
      <c r="L31" s="8">
        <v>1</v>
      </c>
      <c r="M31" s="8">
        <f>CustomFuncGetLevel(E31,F31,G31,H31,I31)</f>
        <v>5</v>
      </c>
      <c r="N31" s="8" t="b">
        <f>AND(J31&lt;&gt;"",ISNUMBER(J31))</f>
        <v>1</v>
      </c>
      <c r="O31" s="8" t="b">
        <f>NOT(OR(AB31="削除",AB31="移管済",AB31="棚上げ",AB31="却下"))</f>
        <v>1</v>
      </c>
      <c r="P31" s="8" t="b">
        <v>1</v>
      </c>
      <c r="Q31" s="8" t="b">
        <v>0</v>
      </c>
      <c r="R31" s="8" t="str">
        <f>CustomFormatWbsId(B31,E31,F31,G31,H31,I31,J31)</f>
        <v>1.1.1.1.2.T3</v>
      </c>
      <c r="S31" s="2"/>
      <c r="T31" s="2"/>
      <c r="U31" s="2"/>
      <c r="V31" s="2"/>
      <c r="W31" s="2"/>
      <c r="X31" s="2"/>
      <c r="Y31" s="2"/>
      <c r="Z31" s="7">
        <v>1</v>
      </c>
      <c r="AA31" s="7">
        <v>0</v>
      </c>
      <c r="AB31" s="1" t="s">
        <v>79</v>
      </c>
      <c r="AC31" s="1">
        <v>0</v>
      </c>
      <c r="AD31" s="3">
        <v>1</v>
      </c>
      <c r="AE31" s="1">
        <v>2</v>
      </c>
      <c r="AF31" s="1" t="s">
        <v>79</v>
      </c>
      <c r="AG31" s="1" t="s">
        <v>79</v>
      </c>
      <c r="AH31" s="4"/>
      <c r="AI31" s="1">
        <v>1.5</v>
      </c>
      <c r="AJ31" s="1"/>
      <c r="AK31" s="1"/>
      <c r="AL31" s="1">
        <v>1</v>
      </c>
      <c r="AM31" s="1">
        <v>0</v>
      </c>
      <c r="AN31" s="1"/>
      <c r="AO31" s="1"/>
      <c r="AP31" s="1" t="s">
        <v>79</v>
      </c>
      <c r="AQ31" s="1" t="s">
        <v>79</v>
      </c>
      <c r="AR31" s="2"/>
    </row>
    <row r="32" spans="2:44" ht="18" customHeight="1">
      <c r="B32" s="17"/>
      <c r="C32" s="1" t="s">
        <v>1</v>
      </c>
      <c r="D32" s="1" t="s">
        <v>1</v>
      </c>
      <c r="E32" s="1">
        <v>1</v>
      </c>
      <c r="F32" s="1">
        <v>1</v>
      </c>
      <c r="G32" s="1">
        <v>1</v>
      </c>
      <c r="H32" s="1">
        <v>2</v>
      </c>
      <c r="I32" s="1"/>
      <c r="J32" s="1"/>
      <c r="K32" s="8" t="str">
        <f>CustomFormatWbsIdx(B32,E32,F32,G32,H32,I32,J32)</f>
        <v>001.001.001.002.---.---</v>
      </c>
      <c r="L32" s="8">
        <v>1</v>
      </c>
      <c r="M32" s="8">
        <f>CustomFuncGetLevel(E32,F32,G32,H32,I32)</f>
        <v>4</v>
      </c>
      <c r="N32" s="8" t="b">
        <f>AND(J32&lt;&gt;"",ISNUMBER(J32))</f>
        <v>0</v>
      </c>
      <c r="O32" s="8" t="b">
        <f>NOT(OR(AB32="削除",AB32="移管済",AB32="棚上げ",AB32="却下"))</f>
        <v>1</v>
      </c>
      <c r="P32" s="8" t="b">
        <v>1</v>
      </c>
      <c r="Q32" s="8" t="b">
        <v>1</v>
      </c>
      <c r="R32" s="8" t="str">
        <f>CustomFormatWbsId(B32,E32,F32,G32,H32,I32,J32)</f>
        <v>1.1.1.2</v>
      </c>
      <c r="S32" s="2"/>
      <c r="T32" s="2"/>
      <c r="U32" s="2"/>
      <c r="V32" s="2"/>
      <c r="W32" s="2"/>
      <c r="X32" s="2"/>
      <c r="Y32" s="2"/>
      <c r="Z32" s="7">
        <v>9</v>
      </c>
      <c r="AA32" s="7">
        <v>1</v>
      </c>
      <c r="AB32" s="1" t="s">
        <v>79</v>
      </c>
      <c r="AC32" s="1">
        <v>0.60936507936507933</v>
      </c>
      <c r="AD32" s="3">
        <v>0.57000000029802322</v>
      </c>
      <c r="AE32" s="1">
        <v>1</v>
      </c>
      <c r="AF32" s="1" t="s">
        <v>79</v>
      </c>
      <c r="AG32" s="1" t="s">
        <v>79</v>
      </c>
      <c r="AH32" s="4"/>
      <c r="AI32" s="1">
        <v>11</v>
      </c>
      <c r="AJ32" s="1"/>
      <c r="AK32" s="1"/>
      <c r="AL32" s="1">
        <v>9</v>
      </c>
      <c r="AM32" s="1">
        <v>10.5</v>
      </c>
      <c r="AN32" s="1"/>
      <c r="AO32" s="1"/>
      <c r="AP32" s="1" t="s">
        <v>79</v>
      </c>
      <c r="AQ32" s="1" t="s">
        <v>79</v>
      </c>
      <c r="AR32" s="2"/>
    </row>
    <row r="33" spans="2:44" ht="18" customHeight="1">
      <c r="B33" s="17"/>
      <c r="C33" s="1" t="s">
        <v>1</v>
      </c>
      <c r="D33" s="1" t="s">
        <v>1</v>
      </c>
      <c r="E33" s="1">
        <v>1</v>
      </c>
      <c r="F33" s="1">
        <v>1</v>
      </c>
      <c r="G33" s="1">
        <v>1</v>
      </c>
      <c r="H33" s="1">
        <v>2</v>
      </c>
      <c r="I33" s="1"/>
      <c r="J33" s="1">
        <v>1</v>
      </c>
      <c r="K33" s="8" t="str">
        <f>CustomFormatWbsIdx(B33,E33,F33,G33,H33,I33,J33)</f>
        <v>001.001.001.002.---.001</v>
      </c>
      <c r="L33" s="8">
        <v>1</v>
      </c>
      <c r="M33" s="8">
        <f>CustomFuncGetLevel(E33,F33,G33,H33,I33)</f>
        <v>4</v>
      </c>
      <c r="N33" s="8" t="b">
        <f>AND(J33&lt;&gt;"",ISNUMBER(J33))</f>
        <v>1</v>
      </c>
      <c r="O33" s="8" t="b">
        <f>NOT(OR(AB33="削除",AB33="移管済",AB33="棚上げ",AB33="却下"))</f>
        <v>1</v>
      </c>
      <c r="P33" s="8" t="b">
        <v>1</v>
      </c>
      <c r="Q33" s="8" t="b">
        <v>0</v>
      </c>
      <c r="R33" s="8" t="str">
        <f>CustomFormatWbsId(B33,E33,F33,G33,H33,I33,J33)</f>
        <v>1.1.1.2.T1</v>
      </c>
      <c r="S33" s="2"/>
      <c r="T33" s="2"/>
      <c r="U33" s="2"/>
      <c r="V33" s="2"/>
      <c r="W33" s="2"/>
      <c r="X33" s="2" t="s">
        <v>67</v>
      </c>
      <c r="Y33" s="2"/>
      <c r="Z33" s="7">
        <v>1</v>
      </c>
      <c r="AA33" s="7">
        <v>1</v>
      </c>
      <c r="AB33" s="1" t="s">
        <v>32</v>
      </c>
      <c r="AC33" s="1">
        <v>1</v>
      </c>
      <c r="AD33" s="3">
        <v>1</v>
      </c>
      <c r="AE33" s="1">
        <v>1</v>
      </c>
      <c r="AF33" s="1" t="s">
        <v>79</v>
      </c>
      <c r="AG33" s="1" t="s">
        <v>79</v>
      </c>
      <c r="AH33" s="4"/>
      <c r="AI33" s="1">
        <v>2</v>
      </c>
      <c r="AJ33" s="1"/>
      <c r="AK33" s="1"/>
      <c r="AL33" s="1">
        <v>0</v>
      </c>
      <c r="AM33" s="1">
        <v>2.5</v>
      </c>
      <c r="AN33" s="1"/>
      <c r="AO33" s="1"/>
      <c r="AP33" s="1" t="s">
        <v>79</v>
      </c>
      <c r="AQ33" s="1" t="s">
        <v>79</v>
      </c>
      <c r="AR33" s="2"/>
    </row>
    <row r="34" spans="2:44" ht="18" customHeight="1">
      <c r="B34" s="17"/>
      <c r="C34" s="1" t="s">
        <v>1</v>
      </c>
      <c r="D34" s="1" t="s">
        <v>1</v>
      </c>
      <c r="E34" s="1">
        <v>1</v>
      </c>
      <c r="F34" s="1">
        <v>1</v>
      </c>
      <c r="G34" s="1">
        <v>1</v>
      </c>
      <c r="H34" s="1">
        <v>2</v>
      </c>
      <c r="I34" s="1"/>
      <c r="J34" s="1">
        <v>2</v>
      </c>
      <c r="K34" s="8" t="str">
        <f>CustomFormatWbsIdx(B34,E34,F34,G34,H34,I34,J34)</f>
        <v>001.001.001.002.---.002</v>
      </c>
      <c r="L34" s="8">
        <v>1</v>
      </c>
      <c r="M34" s="8">
        <f>CustomFuncGetLevel(E34,F34,G34,H34,I34)</f>
        <v>4</v>
      </c>
      <c r="N34" s="8" t="b">
        <f>AND(J34&lt;&gt;"",ISNUMBER(J34))</f>
        <v>1</v>
      </c>
      <c r="O34" s="8" t="b">
        <f>NOT(OR(AB34="削除",AB34="移管済",AB34="棚上げ",AB34="却下"))</f>
        <v>1</v>
      </c>
      <c r="P34" s="8" t="b">
        <v>1</v>
      </c>
      <c r="Q34" s="8" t="b">
        <v>0</v>
      </c>
      <c r="R34" s="8" t="str">
        <f>CustomFormatWbsId(B34,E34,F34,G34,H34,I34,J34)</f>
        <v>1.1.1.2.T2</v>
      </c>
      <c r="S34" s="2"/>
      <c r="T34" s="2"/>
      <c r="U34" s="2"/>
      <c r="V34" s="2"/>
      <c r="W34" s="2"/>
      <c r="X34" s="2" t="s">
        <v>68</v>
      </c>
      <c r="Y34" s="2"/>
      <c r="Z34" s="7">
        <v>1</v>
      </c>
      <c r="AA34" s="7">
        <v>0</v>
      </c>
      <c r="AB34" s="1" t="s">
        <v>84</v>
      </c>
      <c r="AC34" s="1">
        <v>0.2857142857142857</v>
      </c>
      <c r="AD34" s="3">
        <v>0</v>
      </c>
      <c r="AE34" s="1">
        <v>1</v>
      </c>
      <c r="AF34" s="1" t="s">
        <v>79</v>
      </c>
      <c r="AG34" s="1" t="s">
        <v>79</v>
      </c>
      <c r="AH34" s="4"/>
      <c r="AI34" s="1">
        <v>1.5</v>
      </c>
      <c r="AJ34" s="1"/>
      <c r="AK34" s="1"/>
      <c r="AL34" s="1">
        <v>2.5</v>
      </c>
      <c r="AM34" s="1">
        <v>1</v>
      </c>
      <c r="AN34" s="1"/>
      <c r="AO34" s="1"/>
      <c r="AP34" s="1" t="s">
        <v>79</v>
      </c>
      <c r="AQ34" s="1" t="s">
        <v>79</v>
      </c>
      <c r="AR34" s="2"/>
    </row>
    <row r="35" spans="2:44" ht="18" customHeight="1">
      <c r="B35" s="17"/>
      <c r="C35" s="1" t="s">
        <v>1</v>
      </c>
      <c r="D35" s="1" t="s">
        <v>1</v>
      </c>
      <c r="E35" s="1">
        <v>1</v>
      </c>
      <c r="F35" s="1">
        <v>1</v>
      </c>
      <c r="G35" s="1">
        <v>1</v>
      </c>
      <c r="H35" s="1">
        <v>2</v>
      </c>
      <c r="I35" s="1"/>
      <c r="J35" s="1">
        <v>3</v>
      </c>
      <c r="K35" s="8" t="str">
        <f>CustomFormatWbsIdx(B35,E35,F35,G35,H35,I35,J35)</f>
        <v>001.001.001.002.---.003</v>
      </c>
      <c r="L35" s="8">
        <v>1</v>
      </c>
      <c r="M35" s="8">
        <f>CustomFuncGetLevel(E35,F35,G35,H35,I35)</f>
        <v>4</v>
      </c>
      <c r="N35" s="8" t="b">
        <f>AND(J35&lt;&gt;"",ISNUMBER(J35))</f>
        <v>1</v>
      </c>
      <c r="O35" s="8" t="b">
        <f>NOT(OR(AB35="削除",AB35="移管済",AB35="棚上げ",AB35="却下"))</f>
        <v>1</v>
      </c>
      <c r="P35" s="8" t="b">
        <v>1</v>
      </c>
      <c r="Q35" s="8" t="b">
        <v>0</v>
      </c>
      <c r="R35" s="8" t="str">
        <f>CustomFormatWbsId(B35,E35,F35,G35,H35,I35,J35)</f>
        <v>1.1.1.2.T3</v>
      </c>
      <c r="S35" s="2"/>
      <c r="T35" s="2"/>
      <c r="U35" s="2"/>
      <c r="V35" s="2"/>
      <c r="W35" s="2"/>
      <c r="X35" s="2" t="s">
        <v>69</v>
      </c>
      <c r="Y35" s="2"/>
      <c r="Z35" s="7">
        <v>1</v>
      </c>
      <c r="AA35" s="7">
        <v>0</v>
      </c>
      <c r="AB35" s="1" t="s">
        <v>79</v>
      </c>
      <c r="AC35" s="1">
        <v>0.4</v>
      </c>
      <c r="AD35" s="3">
        <v>0.69999998807907104</v>
      </c>
      <c r="AE35" s="1">
        <v>1</v>
      </c>
      <c r="AF35" s="1" t="s">
        <v>79</v>
      </c>
      <c r="AG35" s="1" t="s">
        <v>79</v>
      </c>
      <c r="AH35" s="4"/>
      <c r="AI35" s="1">
        <v>1.5</v>
      </c>
      <c r="AJ35" s="1"/>
      <c r="AK35" s="1"/>
      <c r="AL35" s="1">
        <v>1.5</v>
      </c>
      <c r="AM35" s="1">
        <v>1</v>
      </c>
      <c r="AN35" s="1"/>
      <c r="AO35" s="1"/>
      <c r="AP35" s="1" t="s">
        <v>79</v>
      </c>
      <c r="AQ35" s="1" t="s">
        <v>79</v>
      </c>
      <c r="AR35" s="2"/>
    </row>
    <row r="36" spans="2:44" ht="18" customHeight="1">
      <c r="B36" s="17"/>
      <c r="C36" s="1" t="s">
        <v>1</v>
      </c>
      <c r="D36" s="1" t="s">
        <v>1</v>
      </c>
      <c r="E36" s="1">
        <v>1</v>
      </c>
      <c r="F36" s="1">
        <v>1</v>
      </c>
      <c r="G36" s="1">
        <v>1</v>
      </c>
      <c r="H36" s="1">
        <v>2</v>
      </c>
      <c r="I36" s="1">
        <v>1</v>
      </c>
      <c r="J36" s="1"/>
      <c r="K36" s="8" t="str">
        <f>CustomFormatWbsIdx(B36,E36,F36,G36,H36,I36,J36)</f>
        <v>001.001.001.002.001.---</v>
      </c>
      <c r="L36" s="8">
        <v>1</v>
      </c>
      <c r="M36" s="8">
        <f>CustomFuncGetLevel(E36,F36,G36,H36,I36)</f>
        <v>5</v>
      </c>
      <c r="N36" s="8" t="b">
        <f>AND(J36&lt;&gt;"",ISNUMBER(J36))</f>
        <v>0</v>
      </c>
      <c r="O36" s="8" t="b">
        <f>NOT(OR(AB36="削除",AB36="移管済",AB36="棚上げ",AB36="却下"))</f>
        <v>1</v>
      </c>
      <c r="P36" s="8" t="b">
        <v>1</v>
      </c>
      <c r="Q36" s="8" t="b">
        <v>1</v>
      </c>
      <c r="R36" s="8" t="str">
        <f>CustomFormatWbsId(B36,E36,F36,G36,H36,I36,J36)</f>
        <v>1.1.1.2.1</v>
      </c>
      <c r="S36" s="2"/>
      <c r="T36" s="2"/>
      <c r="U36" s="2"/>
      <c r="V36" s="2"/>
      <c r="W36" s="2" t="s">
        <v>70</v>
      </c>
      <c r="X36" s="2"/>
      <c r="Y36" s="2"/>
      <c r="Z36" s="7">
        <v>3</v>
      </c>
      <c r="AA36" s="7">
        <v>0</v>
      </c>
      <c r="AB36" s="1" t="s">
        <v>79</v>
      </c>
      <c r="AC36" s="1">
        <v>0.75</v>
      </c>
      <c r="AD36" s="3">
        <v>0.52500000596046448</v>
      </c>
      <c r="AE36" s="1">
        <v>1</v>
      </c>
      <c r="AF36" s="1" t="s">
        <v>79</v>
      </c>
      <c r="AG36" s="1" t="s">
        <v>79</v>
      </c>
      <c r="AH36" s="4"/>
      <c r="AI36" s="1">
        <v>1.5</v>
      </c>
      <c r="AJ36" s="1"/>
      <c r="AK36" s="1"/>
      <c r="AL36" s="1">
        <v>1.5</v>
      </c>
      <c r="AM36" s="1">
        <v>3</v>
      </c>
      <c r="AN36" s="1"/>
      <c r="AO36" s="1"/>
      <c r="AP36" s="1" t="s">
        <v>79</v>
      </c>
      <c r="AQ36" s="1" t="s">
        <v>79</v>
      </c>
      <c r="AR36" s="2"/>
    </row>
    <row r="37" spans="2:44" ht="18" customHeight="1">
      <c r="B37" s="17"/>
      <c r="C37" s="1" t="s">
        <v>1</v>
      </c>
      <c r="D37" s="1" t="s">
        <v>1</v>
      </c>
      <c r="E37" s="1">
        <v>1</v>
      </c>
      <c r="F37" s="1">
        <v>1</v>
      </c>
      <c r="G37" s="1">
        <v>1</v>
      </c>
      <c r="H37" s="1">
        <v>2</v>
      </c>
      <c r="I37" s="1">
        <v>1</v>
      </c>
      <c r="J37" s="1">
        <v>1</v>
      </c>
      <c r="K37" s="8" t="str">
        <f>CustomFormatWbsIdx(B37,E37,F37,G37,H37,I37,J37)</f>
        <v>001.001.001.002.001.001</v>
      </c>
      <c r="L37" s="8">
        <v>1</v>
      </c>
      <c r="M37" s="8">
        <f>CustomFuncGetLevel(E37,F37,G37,H37,I37)</f>
        <v>5</v>
      </c>
      <c r="N37" s="8" t="b">
        <f>AND(J37&lt;&gt;"",ISNUMBER(J37))</f>
        <v>1</v>
      </c>
      <c r="O37" s="8" t="b">
        <f>NOT(OR(AB37="削除",AB37="移管済",AB37="棚上げ",AB37="却下"))</f>
        <v>1</v>
      </c>
      <c r="P37" s="8" t="b">
        <v>1</v>
      </c>
      <c r="Q37" s="8" t="b">
        <v>0</v>
      </c>
      <c r="R37" s="8" t="str">
        <f>CustomFormatWbsId(B37,E37,F37,G37,H37,I37,J37)</f>
        <v>1.1.1.2.1.T1</v>
      </c>
      <c r="S37" s="2"/>
      <c r="T37" s="2"/>
      <c r="U37" s="2"/>
      <c r="V37" s="2"/>
      <c r="W37" s="2"/>
      <c r="X37" s="2" t="s">
        <v>71</v>
      </c>
      <c r="Y37" s="2"/>
      <c r="Z37" s="7">
        <v>1</v>
      </c>
      <c r="AA37" s="7">
        <v>0</v>
      </c>
      <c r="AB37" s="1" t="s">
        <v>79</v>
      </c>
      <c r="AC37" s="1">
        <v>1</v>
      </c>
      <c r="AD37" s="3">
        <v>0.30000001192092896</v>
      </c>
      <c r="AE37" s="1">
        <v>2</v>
      </c>
      <c r="AF37" s="1" t="s">
        <v>79</v>
      </c>
      <c r="AG37" s="1" t="s">
        <v>79</v>
      </c>
      <c r="AH37" s="4"/>
      <c r="AI37" s="1">
        <v>0.5</v>
      </c>
      <c r="AJ37" s="1"/>
      <c r="AK37" s="1"/>
      <c r="AL37" s="1">
        <v>0</v>
      </c>
      <c r="AM37" s="1">
        <v>0.5</v>
      </c>
      <c r="AN37" s="1"/>
      <c r="AO37" s="1"/>
      <c r="AP37" s="1" t="s">
        <v>79</v>
      </c>
      <c r="AQ37" s="1" t="s">
        <v>79</v>
      </c>
      <c r="AR37" s="2"/>
    </row>
    <row r="38" spans="2:44" ht="18" customHeight="1">
      <c r="B38" s="17"/>
      <c r="C38" s="1" t="s">
        <v>1</v>
      </c>
      <c r="D38" s="1" t="s">
        <v>1</v>
      </c>
      <c r="E38" s="1">
        <v>1</v>
      </c>
      <c r="F38" s="1">
        <v>1</v>
      </c>
      <c r="G38" s="1">
        <v>1</v>
      </c>
      <c r="H38" s="1">
        <v>2</v>
      </c>
      <c r="I38" s="1">
        <v>1</v>
      </c>
      <c r="J38" s="1">
        <v>2</v>
      </c>
      <c r="K38" s="8" t="str">
        <f>CustomFormatWbsIdx(B38,E38,F38,G38,H38,I38,J38)</f>
        <v>001.001.001.002.001.002</v>
      </c>
      <c r="L38" s="8">
        <v>1</v>
      </c>
      <c r="M38" s="8">
        <f>CustomFuncGetLevel(E38,F38,G38,H38,I38)</f>
        <v>5</v>
      </c>
      <c r="N38" s="8" t="b">
        <f>AND(J38&lt;&gt;"",ISNUMBER(J38))</f>
        <v>1</v>
      </c>
      <c r="O38" s="8" t="b">
        <f>NOT(OR(AB38="削除",AB38="移管済",AB38="棚上げ",AB38="却下"))</f>
        <v>1</v>
      </c>
      <c r="P38" s="8" t="b">
        <v>1</v>
      </c>
      <c r="Q38" s="8" t="b">
        <v>0</v>
      </c>
      <c r="R38" s="8" t="str">
        <f>CustomFormatWbsId(B38,E38,F38,G38,H38,I38,J38)</f>
        <v>1.1.1.2.1.T2</v>
      </c>
      <c r="S38" s="2"/>
      <c r="T38" s="2"/>
      <c r="U38" s="2"/>
      <c r="V38" s="2"/>
      <c r="W38" s="2"/>
      <c r="X38" s="2" t="s">
        <v>72</v>
      </c>
      <c r="Y38" s="2"/>
      <c r="Z38" s="7">
        <v>1</v>
      </c>
      <c r="AA38" s="7">
        <v>0</v>
      </c>
      <c r="AB38" s="1" t="s">
        <v>79</v>
      </c>
      <c r="AC38" s="1">
        <v>0.5</v>
      </c>
      <c r="AD38" s="3">
        <v>1</v>
      </c>
      <c r="AE38" s="1">
        <v>1</v>
      </c>
      <c r="AF38" s="1" t="s">
        <v>79</v>
      </c>
      <c r="AG38" s="1" t="s">
        <v>79</v>
      </c>
      <c r="AH38" s="4"/>
      <c r="AI38" s="1">
        <v>0</v>
      </c>
      <c r="AJ38" s="1"/>
      <c r="AK38" s="1"/>
      <c r="AL38" s="1">
        <v>1</v>
      </c>
      <c r="AM38" s="1">
        <v>1</v>
      </c>
      <c r="AN38" s="1"/>
      <c r="AO38" s="1"/>
      <c r="AP38" s="1" t="s">
        <v>79</v>
      </c>
      <c r="AQ38" s="1" t="s">
        <v>79</v>
      </c>
      <c r="AR38" s="2"/>
    </row>
    <row r="39" spans="2:44" ht="18" customHeight="1">
      <c r="B39" s="17"/>
      <c r="C39" s="1" t="s">
        <v>1</v>
      </c>
      <c r="D39" s="1" t="s">
        <v>1</v>
      </c>
      <c r="E39" s="1">
        <v>1</v>
      </c>
      <c r="F39" s="1">
        <v>1</v>
      </c>
      <c r="G39" s="1">
        <v>1</v>
      </c>
      <c r="H39" s="1">
        <v>2</v>
      </c>
      <c r="I39" s="1">
        <v>1</v>
      </c>
      <c r="J39" s="1">
        <v>3</v>
      </c>
      <c r="K39" s="8" t="str">
        <f>CustomFormatWbsIdx(B39,E39,F39,G39,H39,I39,J39)</f>
        <v>001.001.001.002.001.003</v>
      </c>
      <c r="L39" s="8">
        <v>1</v>
      </c>
      <c r="M39" s="8">
        <f>CustomFuncGetLevel(E39,F39,G39,H39,I39)</f>
        <v>5</v>
      </c>
      <c r="N39" s="8" t="b">
        <f>AND(J39&lt;&gt;"",ISNUMBER(J39))</f>
        <v>1</v>
      </c>
      <c r="O39" s="8" t="b">
        <f>NOT(OR(AB39="削除",AB39="移管済",AB39="棚上げ",AB39="却下"))</f>
        <v>1</v>
      </c>
      <c r="P39" s="8" t="b">
        <v>1</v>
      </c>
      <c r="Q39" s="8" t="b">
        <v>0</v>
      </c>
      <c r="R39" s="8" t="str">
        <f>CustomFormatWbsId(B39,E39,F39,G39,H39,I39,J39)</f>
        <v>1.1.1.2.1.T3</v>
      </c>
      <c r="S39" s="2"/>
      <c r="T39" s="2"/>
      <c r="U39" s="2"/>
      <c r="V39" s="2"/>
      <c r="W39" s="2"/>
      <c r="X39" s="2"/>
      <c r="Y39" s="2"/>
      <c r="Z39" s="7">
        <v>1</v>
      </c>
      <c r="AA39" s="7">
        <v>0</v>
      </c>
      <c r="AB39" s="1" t="s">
        <v>79</v>
      </c>
      <c r="AC39" s="1">
        <v>0.75</v>
      </c>
      <c r="AD39" s="3">
        <v>0.5</v>
      </c>
      <c r="AE39" s="1">
        <v>1</v>
      </c>
      <c r="AF39" s="1" t="s">
        <v>79</v>
      </c>
      <c r="AG39" s="1" t="s">
        <v>79</v>
      </c>
      <c r="AH39" s="4"/>
      <c r="AI39" s="1">
        <v>1</v>
      </c>
      <c r="AJ39" s="1"/>
      <c r="AK39" s="1"/>
      <c r="AL39" s="1">
        <v>0.5</v>
      </c>
      <c r="AM39" s="1">
        <v>1.5</v>
      </c>
      <c r="AN39" s="1"/>
      <c r="AO39" s="1"/>
      <c r="AP39" s="1" t="s">
        <v>79</v>
      </c>
      <c r="AQ39" s="1" t="s">
        <v>79</v>
      </c>
      <c r="AR39" s="2"/>
    </row>
    <row r="40" spans="2:44" ht="18" customHeight="1">
      <c r="B40" s="17"/>
      <c r="C40" s="1" t="s">
        <v>1</v>
      </c>
      <c r="D40" s="1" t="s">
        <v>1</v>
      </c>
      <c r="E40" s="1">
        <v>1</v>
      </c>
      <c r="F40" s="1">
        <v>1</v>
      </c>
      <c r="G40" s="1">
        <v>1</v>
      </c>
      <c r="H40" s="1">
        <v>2</v>
      </c>
      <c r="I40" s="1">
        <v>2</v>
      </c>
      <c r="J40" s="1"/>
      <c r="K40" s="8" t="str">
        <f>CustomFormatWbsIdx(B40,E40,F40,G40,H40,I40,J40)</f>
        <v>001.001.001.002.002.---</v>
      </c>
      <c r="L40" s="8">
        <v>1</v>
      </c>
      <c r="M40" s="8">
        <f>CustomFuncGetLevel(E40,F40,G40,H40,I40)</f>
        <v>5</v>
      </c>
      <c r="N40" s="8" t="b">
        <f>AND(J40&lt;&gt;"",ISNUMBER(J40))</f>
        <v>0</v>
      </c>
      <c r="O40" s="8" t="b">
        <f>NOT(OR(AB40="削除",AB40="移管済",AB40="棚上げ",AB40="却下"))</f>
        <v>1</v>
      </c>
      <c r="P40" s="8" t="b">
        <v>1</v>
      </c>
      <c r="Q40" s="8" t="b">
        <v>1</v>
      </c>
      <c r="R40" s="8" t="str">
        <f>CustomFormatWbsId(B40,E40,F40,G40,H40,I40,J40)</f>
        <v>1.1.1.2.2</v>
      </c>
      <c r="S40" s="2"/>
      <c r="T40" s="2"/>
      <c r="U40" s="2"/>
      <c r="V40" s="2"/>
      <c r="W40" s="2"/>
      <c r="X40" s="2"/>
      <c r="Y40" s="2"/>
      <c r="Z40" s="7">
        <v>3</v>
      </c>
      <c r="AA40" s="7">
        <v>0</v>
      </c>
      <c r="AB40" s="1" t="s">
        <v>79</v>
      </c>
      <c r="AC40" s="1">
        <v>0.61111111111111105</v>
      </c>
      <c r="AD40" s="3">
        <v>0.6250000074505806</v>
      </c>
      <c r="AE40" s="1">
        <v>1</v>
      </c>
      <c r="AF40" s="1" t="s">
        <v>79</v>
      </c>
      <c r="AG40" s="1" t="s">
        <v>79</v>
      </c>
      <c r="AH40" s="4"/>
      <c r="AI40" s="1">
        <v>4.5</v>
      </c>
      <c r="AJ40" s="1"/>
      <c r="AK40" s="1"/>
      <c r="AL40" s="1">
        <v>3.5</v>
      </c>
      <c r="AM40" s="1">
        <v>3</v>
      </c>
      <c r="AN40" s="1"/>
      <c r="AO40" s="1"/>
      <c r="AP40" s="1" t="s">
        <v>79</v>
      </c>
      <c r="AQ40" s="1" t="s">
        <v>79</v>
      </c>
      <c r="AR40" s="2"/>
    </row>
    <row r="41" spans="2:44" ht="18" customHeight="1">
      <c r="B41" s="17"/>
      <c r="C41" s="1" t="s">
        <v>1</v>
      </c>
      <c r="D41" s="1" t="s">
        <v>1</v>
      </c>
      <c r="E41" s="1">
        <v>1</v>
      </c>
      <c r="F41" s="1">
        <v>1</v>
      </c>
      <c r="G41" s="1">
        <v>1</v>
      </c>
      <c r="H41" s="1">
        <v>2</v>
      </c>
      <c r="I41" s="1">
        <v>2</v>
      </c>
      <c r="J41" s="1">
        <v>1</v>
      </c>
      <c r="K41" s="8" t="str">
        <f>CustomFormatWbsIdx(B41,E41,F41,G41,H41,I41,J41)</f>
        <v>001.001.001.002.002.001</v>
      </c>
      <c r="L41" s="8">
        <v>1</v>
      </c>
      <c r="M41" s="8">
        <f>CustomFuncGetLevel(E41,F41,G41,H41,I41)</f>
        <v>5</v>
      </c>
      <c r="N41" s="8" t="b">
        <f>AND(J41&lt;&gt;"",ISNUMBER(J41))</f>
        <v>1</v>
      </c>
      <c r="O41" s="8" t="b">
        <f>NOT(OR(AB41="削除",AB41="移管済",AB41="棚上げ",AB41="却下"))</f>
        <v>1</v>
      </c>
      <c r="P41" s="8" t="b">
        <v>1</v>
      </c>
      <c r="Q41" s="8" t="b">
        <v>0</v>
      </c>
      <c r="R41" s="8" t="str">
        <f>CustomFormatWbsId(B41,E41,F41,G41,H41,I41,J41)</f>
        <v>1.1.1.2.2.T1</v>
      </c>
      <c r="S41" s="2"/>
      <c r="T41" s="2"/>
      <c r="U41" s="2"/>
      <c r="V41" s="2"/>
      <c r="W41" s="2"/>
      <c r="X41" s="2" t="s">
        <v>71</v>
      </c>
      <c r="Y41" s="2"/>
      <c r="Z41" s="7">
        <v>1</v>
      </c>
      <c r="AA41" s="7">
        <v>0</v>
      </c>
      <c r="AB41" s="1" t="s">
        <v>79</v>
      </c>
      <c r="AC41" s="1">
        <v>0.5</v>
      </c>
      <c r="AD41" s="3">
        <v>0.5</v>
      </c>
      <c r="AE41" s="1">
        <v>1</v>
      </c>
      <c r="AF41" s="1" t="s">
        <v>79</v>
      </c>
      <c r="AG41" s="1" t="s">
        <v>79</v>
      </c>
      <c r="AH41" s="4"/>
      <c r="AI41" s="1">
        <v>2.5</v>
      </c>
      <c r="AJ41" s="1"/>
      <c r="AK41" s="1"/>
      <c r="AL41" s="1">
        <v>1.5</v>
      </c>
      <c r="AM41" s="1">
        <v>1.5</v>
      </c>
      <c r="AN41" s="1"/>
      <c r="AO41" s="1"/>
      <c r="AP41" s="1" t="s">
        <v>79</v>
      </c>
      <c r="AQ41" s="1" t="s">
        <v>79</v>
      </c>
      <c r="AR41" s="2"/>
    </row>
    <row r="42" spans="2:44" ht="18" customHeight="1">
      <c r="B42" s="17"/>
      <c r="C42" s="1" t="s">
        <v>1</v>
      </c>
      <c r="D42" s="1" t="s">
        <v>1</v>
      </c>
      <c r="E42" s="1">
        <v>1</v>
      </c>
      <c r="F42" s="1">
        <v>1</v>
      </c>
      <c r="G42" s="1">
        <v>1</v>
      </c>
      <c r="H42" s="1">
        <v>2</v>
      </c>
      <c r="I42" s="1">
        <v>2</v>
      </c>
      <c r="J42" s="1">
        <v>2</v>
      </c>
      <c r="K42" s="8" t="str">
        <f>CustomFormatWbsIdx(B42,E42,F42,G42,H42,I42,J42)</f>
        <v>001.001.001.002.002.002</v>
      </c>
      <c r="L42" s="8">
        <v>1</v>
      </c>
      <c r="M42" s="8">
        <f>CustomFuncGetLevel(E42,F42,G42,H42,I42)</f>
        <v>5</v>
      </c>
      <c r="N42" s="8" t="b">
        <f>AND(J42&lt;&gt;"",ISNUMBER(J42))</f>
        <v>1</v>
      </c>
      <c r="O42" s="8" t="b">
        <f>NOT(OR(AB42="削除",AB42="移管済",AB42="棚上げ",AB42="却下"))</f>
        <v>1</v>
      </c>
      <c r="P42" s="8" t="b">
        <v>1</v>
      </c>
      <c r="Q42" s="8" t="b">
        <v>0</v>
      </c>
      <c r="R42" s="8" t="str">
        <f>CustomFormatWbsId(B42,E42,F42,G42,H42,I42,J42)</f>
        <v>1.1.1.2.2.T2</v>
      </c>
      <c r="S42" s="2"/>
      <c r="T42" s="2"/>
      <c r="U42" s="2"/>
      <c r="V42" s="2"/>
      <c r="W42" s="2"/>
      <c r="X42" s="2" t="s">
        <v>72</v>
      </c>
      <c r="Y42" s="2"/>
      <c r="Z42" s="7">
        <v>1</v>
      </c>
      <c r="AA42" s="7">
        <v>0</v>
      </c>
      <c r="AB42" s="1" t="s">
        <v>79</v>
      </c>
      <c r="AC42" s="1">
        <v>0.33333333333333331</v>
      </c>
      <c r="AD42" s="3">
        <v>0.40000000596046448</v>
      </c>
      <c r="AE42" s="1">
        <v>1</v>
      </c>
      <c r="AF42" s="1" t="s">
        <v>79</v>
      </c>
      <c r="AG42" s="1" t="s">
        <v>79</v>
      </c>
      <c r="AH42" s="4"/>
      <c r="AI42" s="1">
        <v>0</v>
      </c>
      <c r="AJ42" s="1"/>
      <c r="AK42" s="1"/>
      <c r="AL42" s="1">
        <v>2</v>
      </c>
      <c r="AM42" s="1">
        <v>1</v>
      </c>
      <c r="AN42" s="1"/>
      <c r="AO42" s="1"/>
      <c r="AP42" s="1" t="s">
        <v>79</v>
      </c>
      <c r="AQ42" s="1" t="s">
        <v>79</v>
      </c>
      <c r="AR42" s="2"/>
    </row>
    <row r="43" spans="2:44" ht="18" customHeight="1">
      <c r="B43" s="17"/>
      <c r="C43" s="1" t="s">
        <v>1</v>
      </c>
      <c r="D43" s="1" t="s">
        <v>1</v>
      </c>
      <c r="E43" s="1">
        <v>1</v>
      </c>
      <c r="F43" s="1">
        <v>1</v>
      </c>
      <c r="G43" s="1">
        <v>1</v>
      </c>
      <c r="H43" s="1">
        <v>2</v>
      </c>
      <c r="I43" s="1">
        <v>2</v>
      </c>
      <c r="J43" s="1">
        <v>3</v>
      </c>
      <c r="K43" s="8" t="str">
        <f>CustomFormatWbsIdx(B43,E43,F43,G43,H43,I43,J43)</f>
        <v>001.001.001.002.002.003</v>
      </c>
      <c r="L43" s="8">
        <v>1</v>
      </c>
      <c r="M43" s="8">
        <f>CustomFuncGetLevel(E43,F43,G43,H43,I43)</f>
        <v>5</v>
      </c>
      <c r="N43" s="8" t="b">
        <f>AND(J43&lt;&gt;"",ISNUMBER(J43))</f>
        <v>1</v>
      </c>
      <c r="O43" s="8" t="b">
        <f>NOT(OR(AB43="削除",AB43="移管済",AB43="棚上げ",AB43="却下"))</f>
        <v>1</v>
      </c>
      <c r="P43" s="8" t="b">
        <v>1</v>
      </c>
      <c r="Q43" s="8" t="b">
        <v>0</v>
      </c>
      <c r="R43" s="8" t="str">
        <f>CustomFormatWbsId(B43,E43,F43,G43,H43,I43,J43)</f>
        <v>1.1.1.2.2.T3</v>
      </c>
      <c r="S43" s="2"/>
      <c r="T43" s="2"/>
      <c r="U43" s="2"/>
      <c r="V43" s="2"/>
      <c r="W43" s="2"/>
      <c r="X43" s="2"/>
      <c r="Y43" s="2"/>
      <c r="Z43" s="7">
        <v>1</v>
      </c>
      <c r="AA43" s="7">
        <v>0</v>
      </c>
      <c r="AB43" s="1" t="s">
        <v>79</v>
      </c>
      <c r="AC43" s="1">
        <v>1</v>
      </c>
      <c r="AD43" s="3">
        <v>0.80000001192092896</v>
      </c>
      <c r="AE43" s="1">
        <v>2</v>
      </c>
      <c r="AF43" s="1" t="s">
        <v>79</v>
      </c>
      <c r="AG43" s="1" t="s">
        <v>79</v>
      </c>
      <c r="AH43" s="4"/>
      <c r="AI43" s="1">
        <v>2</v>
      </c>
      <c r="AJ43" s="1"/>
      <c r="AK43" s="1"/>
      <c r="AL43" s="1">
        <v>0</v>
      </c>
      <c r="AM43" s="1">
        <v>0.5</v>
      </c>
      <c r="AN43" s="1"/>
      <c r="AO43" s="1"/>
      <c r="AP43" s="1" t="s">
        <v>79</v>
      </c>
      <c r="AQ43" s="1" t="s">
        <v>79</v>
      </c>
      <c r="AR43" s="2"/>
    </row>
    <row r="44" spans="2:44" ht="18" customHeight="1">
      <c r="B44" s="17"/>
      <c r="C44" s="1" t="s">
        <v>1</v>
      </c>
      <c r="D44" s="1" t="s">
        <v>1</v>
      </c>
      <c r="E44" s="1">
        <v>1</v>
      </c>
      <c r="F44" s="1">
        <v>1</v>
      </c>
      <c r="G44" s="1">
        <v>2</v>
      </c>
      <c r="H44" s="1"/>
      <c r="I44" s="1"/>
      <c r="J44" s="1"/>
      <c r="K44" s="8" t="str">
        <f>CustomFormatWbsIdx(B44,E44,F44,G44,H44,I44,J44)</f>
        <v>001.001.002.---.---.---</v>
      </c>
      <c r="L44" s="8">
        <v>1</v>
      </c>
      <c r="M44" s="8">
        <f>CustomFuncGetLevel(E44,F44,G44,H44,I44)</f>
        <v>3</v>
      </c>
      <c r="N44" s="8" t="b">
        <f>AND(J44&lt;&gt;"",ISNUMBER(J44))</f>
        <v>0</v>
      </c>
      <c r="O44" s="8" t="b">
        <f>NOT(OR(AB44="削除",AB44="移管済",AB44="棚上げ",AB44="却下"))</f>
        <v>1</v>
      </c>
      <c r="P44" s="8" t="b">
        <v>1</v>
      </c>
      <c r="Q44" s="8" t="b">
        <v>1</v>
      </c>
      <c r="R44" s="8" t="str">
        <f>CustomFormatWbsId(B44,E44,F44,G44,H44,I44,J44)</f>
        <v>1.1.2</v>
      </c>
      <c r="S44" s="2"/>
      <c r="T44" s="2"/>
      <c r="U44" s="2"/>
      <c r="V44" s="2"/>
      <c r="W44" s="2"/>
      <c r="X44" s="2"/>
      <c r="Y44" s="2"/>
      <c r="Z44" s="7">
        <v>20</v>
      </c>
      <c r="AA44" s="7">
        <v>2</v>
      </c>
      <c r="AB44" s="1" t="s">
        <v>79</v>
      </c>
      <c r="AC44" s="1">
        <v>0.49271825396825392</v>
      </c>
      <c r="AD44" s="3">
        <v>0.47026666673024486</v>
      </c>
      <c r="AE44" s="1">
        <v>1</v>
      </c>
      <c r="AF44" s="1" t="s">
        <v>79</v>
      </c>
      <c r="AG44" s="1" t="s">
        <v>79</v>
      </c>
      <c r="AH44" s="4"/>
      <c r="AI44" s="1">
        <v>23</v>
      </c>
      <c r="AJ44" s="1"/>
      <c r="AK44" s="1"/>
      <c r="AL44" s="1">
        <v>22.5</v>
      </c>
      <c r="AM44" s="1">
        <v>21</v>
      </c>
      <c r="AN44" s="1"/>
      <c r="AO44" s="1"/>
      <c r="AP44" s="1" t="s">
        <v>79</v>
      </c>
      <c r="AQ44" s="1" t="s">
        <v>79</v>
      </c>
      <c r="AR44" s="2"/>
    </row>
    <row r="45" spans="2:44" ht="18" customHeight="1">
      <c r="B45" s="17"/>
      <c r="C45" s="1" t="s">
        <v>1</v>
      </c>
      <c r="D45" s="1" t="s">
        <v>1</v>
      </c>
      <c r="E45" s="1">
        <v>1</v>
      </c>
      <c r="F45" s="1">
        <v>1</v>
      </c>
      <c r="G45" s="1">
        <v>2</v>
      </c>
      <c r="H45" s="1"/>
      <c r="I45" s="1"/>
      <c r="J45" s="1">
        <v>1</v>
      </c>
      <c r="K45" s="8" t="str">
        <f>CustomFormatWbsIdx(B45,E45,F45,G45,H45,I45,J45)</f>
        <v>001.001.002.---.---.001</v>
      </c>
      <c r="L45" s="8">
        <v>1</v>
      </c>
      <c r="M45" s="8">
        <f>CustomFuncGetLevel(E45,F45,G45,H45,I45)</f>
        <v>3</v>
      </c>
      <c r="N45" s="8" t="b">
        <f>AND(J45&lt;&gt;"",ISNUMBER(J45))</f>
        <v>1</v>
      </c>
      <c r="O45" s="8" t="b">
        <f>NOT(OR(AB45="削除",AB45="移管済",AB45="棚上げ",AB45="却下"))</f>
        <v>0</v>
      </c>
      <c r="P45" s="8" t="b">
        <v>1</v>
      </c>
      <c r="Q45" s="8" t="b">
        <v>0</v>
      </c>
      <c r="R45" s="8" t="str">
        <f>CustomFormatWbsId(B45,E45,F45,G45,H45,I45,J45)</f>
        <v>1.1.2.T1</v>
      </c>
      <c r="S45" s="2"/>
      <c r="T45" s="2"/>
      <c r="U45" s="2"/>
      <c r="V45" s="2"/>
      <c r="W45" s="2"/>
      <c r="X45" s="2" t="s">
        <v>63</v>
      </c>
      <c r="Y45" s="2"/>
      <c r="Z45" s="7">
        <v>1</v>
      </c>
      <c r="AA45" s="7">
        <v>0</v>
      </c>
      <c r="AB45" s="1" t="s">
        <v>82</v>
      </c>
      <c r="AC45" s="1">
        <v>0</v>
      </c>
      <c r="AD45" s="3">
        <v>0</v>
      </c>
      <c r="AE45" s="1">
        <v>1</v>
      </c>
      <c r="AF45" s="1" t="s">
        <v>79</v>
      </c>
      <c r="AG45" s="1" t="s">
        <v>79</v>
      </c>
      <c r="AH45" s="4"/>
      <c r="AI45" s="1">
        <v>0.5</v>
      </c>
      <c r="AJ45" s="1"/>
      <c r="AK45" s="1"/>
      <c r="AL45" s="1">
        <v>0</v>
      </c>
      <c r="AM45" s="1">
        <v>0</v>
      </c>
      <c r="AN45" s="1"/>
      <c r="AO45" s="1"/>
      <c r="AP45" s="1" t="s">
        <v>79</v>
      </c>
      <c r="AQ45" s="1" t="s">
        <v>79</v>
      </c>
      <c r="AR45" s="2"/>
    </row>
    <row r="46" spans="2:44" ht="18" customHeight="1">
      <c r="B46" s="17"/>
      <c r="C46" s="1" t="s">
        <v>1</v>
      </c>
      <c r="D46" s="1" t="s">
        <v>1</v>
      </c>
      <c r="E46" s="1">
        <v>1</v>
      </c>
      <c r="F46" s="1">
        <v>1</v>
      </c>
      <c r="G46" s="1">
        <v>2</v>
      </c>
      <c r="H46" s="1"/>
      <c r="I46" s="1"/>
      <c r="J46" s="1">
        <v>2</v>
      </c>
      <c r="K46" s="8" t="str">
        <f>CustomFormatWbsIdx(B46,E46,F46,G46,H46,I46,J46)</f>
        <v>001.001.002.---.---.002</v>
      </c>
      <c r="L46" s="8">
        <v>1</v>
      </c>
      <c r="M46" s="8">
        <f>CustomFuncGetLevel(E46,F46,G46,H46,I46)</f>
        <v>3</v>
      </c>
      <c r="N46" s="8" t="b">
        <f>AND(J46&lt;&gt;"",ISNUMBER(J46))</f>
        <v>1</v>
      </c>
      <c r="O46" s="8" t="b">
        <f>NOT(OR(AB46="削除",AB46="移管済",AB46="棚上げ",AB46="却下"))</f>
        <v>1</v>
      </c>
      <c r="P46" s="8" t="b">
        <v>1</v>
      </c>
      <c r="Q46" s="8" t="b">
        <v>0</v>
      </c>
      <c r="R46" s="8" t="str">
        <f>CustomFormatWbsId(B46,E46,F46,G46,H46,I46,J46)</f>
        <v>1.1.2.T2</v>
      </c>
      <c r="S46" s="2"/>
      <c r="T46" s="2"/>
      <c r="U46" s="2"/>
      <c r="V46" s="2"/>
      <c r="W46" s="2"/>
      <c r="X46" s="2" t="s">
        <v>64</v>
      </c>
      <c r="Y46" s="2"/>
      <c r="Z46" s="7">
        <v>1</v>
      </c>
      <c r="AA46" s="7">
        <v>0</v>
      </c>
      <c r="AB46" s="1" t="s">
        <v>83</v>
      </c>
      <c r="AC46" s="1">
        <v>0.5714285714285714</v>
      </c>
      <c r="AD46" s="3">
        <v>0.5</v>
      </c>
      <c r="AE46" s="1">
        <v>1</v>
      </c>
      <c r="AF46" s="1" t="s">
        <v>79</v>
      </c>
      <c r="AG46" s="1" t="s">
        <v>79</v>
      </c>
      <c r="AH46" s="4"/>
      <c r="AI46" s="1">
        <v>1.5</v>
      </c>
      <c r="AJ46" s="1"/>
      <c r="AK46" s="1"/>
      <c r="AL46" s="1">
        <v>1.5</v>
      </c>
      <c r="AM46" s="1">
        <v>2</v>
      </c>
      <c r="AN46" s="1"/>
      <c r="AO46" s="1"/>
      <c r="AP46" s="1" t="s">
        <v>79</v>
      </c>
      <c r="AQ46" s="1" t="s">
        <v>79</v>
      </c>
      <c r="AR46" s="2"/>
    </row>
    <row r="47" spans="2:44" ht="18" customHeight="1">
      <c r="B47" s="17"/>
      <c r="C47" s="1" t="s">
        <v>1</v>
      </c>
      <c r="D47" s="1" t="s">
        <v>1</v>
      </c>
      <c r="E47" s="1">
        <v>1</v>
      </c>
      <c r="F47" s="1">
        <v>1</v>
      </c>
      <c r="G47" s="1">
        <v>2</v>
      </c>
      <c r="H47" s="1"/>
      <c r="I47" s="1"/>
      <c r="J47" s="1">
        <v>3</v>
      </c>
      <c r="K47" s="8" t="str">
        <f>CustomFormatWbsIdx(B47,E47,F47,G47,H47,I47,J47)</f>
        <v>001.001.002.---.---.003</v>
      </c>
      <c r="L47" s="8">
        <v>1</v>
      </c>
      <c r="M47" s="8">
        <f>CustomFuncGetLevel(E47,F47,G47,H47,I47)</f>
        <v>3</v>
      </c>
      <c r="N47" s="8" t="b">
        <f>AND(J47&lt;&gt;"",ISNUMBER(J47))</f>
        <v>1</v>
      </c>
      <c r="O47" s="8" t="b">
        <f>NOT(OR(AB47="削除",AB47="移管済",AB47="棚上げ",AB47="却下"))</f>
        <v>1</v>
      </c>
      <c r="P47" s="8" t="b">
        <v>1</v>
      </c>
      <c r="Q47" s="8" t="b">
        <v>0</v>
      </c>
      <c r="R47" s="8" t="str">
        <f>CustomFormatWbsId(B47,E47,F47,G47,H47,I47,J47)</f>
        <v>1.1.2.T3</v>
      </c>
      <c r="S47" s="2"/>
      <c r="T47" s="2"/>
      <c r="U47" s="2"/>
      <c r="V47" s="2"/>
      <c r="W47" s="2"/>
      <c r="X47" s="2" t="s">
        <v>65</v>
      </c>
      <c r="Y47" s="2"/>
      <c r="Z47" s="7">
        <v>1</v>
      </c>
      <c r="AA47" s="7">
        <v>0</v>
      </c>
      <c r="AB47" s="1" t="s">
        <v>79</v>
      </c>
      <c r="AC47" s="1">
        <v>0.33333333333333331</v>
      </c>
      <c r="AD47" s="3">
        <v>0</v>
      </c>
      <c r="AE47" s="1">
        <v>1</v>
      </c>
      <c r="AF47" s="1" t="s">
        <v>79</v>
      </c>
      <c r="AG47" s="1" t="s">
        <v>79</v>
      </c>
      <c r="AH47" s="4"/>
      <c r="AI47" s="1">
        <v>0.5</v>
      </c>
      <c r="AJ47" s="1"/>
      <c r="AK47" s="1"/>
      <c r="AL47" s="1">
        <v>2</v>
      </c>
      <c r="AM47" s="1">
        <v>1</v>
      </c>
      <c r="AN47" s="1"/>
      <c r="AO47" s="1"/>
      <c r="AP47" s="1" t="s">
        <v>79</v>
      </c>
      <c r="AQ47" s="1" t="s">
        <v>79</v>
      </c>
      <c r="AR47" s="2"/>
    </row>
    <row r="48" spans="2:44" ht="18" customHeight="1">
      <c r="B48" s="17"/>
      <c r="C48" s="1" t="s">
        <v>1</v>
      </c>
      <c r="D48" s="1" t="s">
        <v>1</v>
      </c>
      <c r="E48" s="1">
        <v>1</v>
      </c>
      <c r="F48" s="1">
        <v>1</v>
      </c>
      <c r="G48" s="1">
        <v>2</v>
      </c>
      <c r="H48" s="1">
        <v>1</v>
      </c>
      <c r="I48" s="1"/>
      <c r="J48" s="1"/>
      <c r="K48" s="8" t="str">
        <f>CustomFormatWbsIdx(B48,E48,F48,G48,H48,I48,J48)</f>
        <v>001.001.002.001.---.---</v>
      </c>
      <c r="L48" s="8">
        <v>1</v>
      </c>
      <c r="M48" s="8">
        <f>CustomFuncGetLevel(E48,F48,G48,H48,I48)</f>
        <v>4</v>
      </c>
      <c r="N48" s="8" t="b">
        <f>AND(J48&lt;&gt;"",ISNUMBER(J48))</f>
        <v>0</v>
      </c>
      <c r="O48" s="8" t="b">
        <f>NOT(OR(AB48="削除",AB48="移管済",AB48="棚上げ",AB48="却下"))</f>
        <v>1</v>
      </c>
      <c r="P48" s="8" t="b">
        <v>1</v>
      </c>
      <c r="Q48" s="8" t="b">
        <v>1</v>
      </c>
      <c r="R48" s="8" t="str">
        <f>CustomFormatWbsId(B48,E48,F48,G48,H48,I48,J48)</f>
        <v>1.1.2.1</v>
      </c>
      <c r="S48" s="2"/>
      <c r="T48" s="2"/>
      <c r="U48" s="2"/>
      <c r="V48" s="2" t="s">
        <v>66</v>
      </c>
      <c r="W48" s="2"/>
      <c r="X48" s="2"/>
      <c r="Y48" s="2"/>
      <c r="Z48" s="7">
        <v>9</v>
      </c>
      <c r="AA48" s="7">
        <v>1</v>
      </c>
      <c r="AB48" s="1" t="s">
        <v>79</v>
      </c>
      <c r="AC48" s="1">
        <v>0.50222222222222224</v>
      </c>
      <c r="AD48" s="3">
        <v>0.55166666706403089</v>
      </c>
      <c r="AE48" s="1">
        <v>2</v>
      </c>
      <c r="AF48" s="1" t="s">
        <v>79</v>
      </c>
      <c r="AG48" s="1" t="s">
        <v>79</v>
      </c>
      <c r="AH48" s="4"/>
      <c r="AI48" s="1">
        <v>12</v>
      </c>
      <c r="AJ48" s="1"/>
      <c r="AK48" s="1"/>
      <c r="AL48" s="1">
        <v>8</v>
      </c>
      <c r="AM48" s="1">
        <v>6</v>
      </c>
      <c r="AN48" s="1"/>
      <c r="AO48" s="1"/>
      <c r="AP48" s="1" t="s">
        <v>79</v>
      </c>
      <c r="AQ48" s="1" t="s">
        <v>79</v>
      </c>
      <c r="AR48" s="2"/>
    </row>
    <row r="49" spans="2:44" ht="18" customHeight="1">
      <c r="B49" s="17"/>
      <c r="C49" s="1" t="s">
        <v>1</v>
      </c>
      <c r="D49" s="1" t="s">
        <v>1</v>
      </c>
      <c r="E49" s="1">
        <v>1</v>
      </c>
      <c r="F49" s="1">
        <v>1</v>
      </c>
      <c r="G49" s="1">
        <v>2</v>
      </c>
      <c r="H49" s="1">
        <v>1</v>
      </c>
      <c r="I49" s="1"/>
      <c r="J49" s="1">
        <v>1</v>
      </c>
      <c r="K49" s="8" t="str">
        <f>CustomFormatWbsIdx(B49,E49,F49,G49,H49,I49,J49)</f>
        <v>001.001.002.001.---.001</v>
      </c>
      <c r="L49" s="8">
        <v>1</v>
      </c>
      <c r="M49" s="8">
        <f>CustomFuncGetLevel(E49,F49,G49,H49,I49)</f>
        <v>4</v>
      </c>
      <c r="N49" s="8" t="b">
        <f>AND(J49&lt;&gt;"",ISNUMBER(J49))</f>
        <v>1</v>
      </c>
      <c r="O49" s="8" t="b">
        <f>NOT(OR(AB49="削除",AB49="移管済",AB49="棚上げ",AB49="却下"))</f>
        <v>1</v>
      </c>
      <c r="P49" s="8" t="b">
        <v>1</v>
      </c>
      <c r="Q49" s="8" t="b">
        <v>0</v>
      </c>
      <c r="R49" s="8" t="str">
        <f>CustomFormatWbsId(B49,E49,F49,G49,H49,I49,J49)</f>
        <v>1.1.2.1.T1</v>
      </c>
      <c r="S49" s="2"/>
      <c r="T49" s="2"/>
      <c r="U49" s="2"/>
      <c r="V49" s="2"/>
      <c r="W49" s="2"/>
      <c r="X49" s="2" t="s">
        <v>67</v>
      </c>
      <c r="Y49" s="2"/>
      <c r="Z49" s="7">
        <v>1</v>
      </c>
      <c r="AA49" s="7">
        <v>1</v>
      </c>
      <c r="AB49" s="1" t="s">
        <v>32</v>
      </c>
      <c r="AC49" s="1">
        <v>1</v>
      </c>
      <c r="AD49" s="3">
        <v>1</v>
      </c>
      <c r="AE49" s="1">
        <v>1</v>
      </c>
      <c r="AF49" s="1" t="s">
        <v>79</v>
      </c>
      <c r="AG49" s="1" t="s">
        <v>79</v>
      </c>
      <c r="AH49" s="4"/>
      <c r="AI49" s="1">
        <v>2</v>
      </c>
      <c r="AJ49" s="1"/>
      <c r="AK49" s="1"/>
      <c r="AL49" s="1">
        <v>0</v>
      </c>
      <c r="AM49" s="1">
        <v>1.5</v>
      </c>
      <c r="AN49" s="1"/>
      <c r="AO49" s="1"/>
      <c r="AP49" s="1" t="s">
        <v>79</v>
      </c>
      <c r="AQ49" s="1" t="s">
        <v>79</v>
      </c>
      <c r="AR49" s="2"/>
    </row>
    <row r="50" spans="2:44" ht="18" customHeight="1">
      <c r="B50" s="17"/>
      <c r="C50" s="1" t="s">
        <v>1</v>
      </c>
      <c r="D50" s="1" t="s">
        <v>1</v>
      </c>
      <c r="E50" s="1">
        <v>1</v>
      </c>
      <c r="F50" s="1">
        <v>1</v>
      </c>
      <c r="G50" s="1">
        <v>2</v>
      </c>
      <c r="H50" s="1">
        <v>1</v>
      </c>
      <c r="I50" s="1"/>
      <c r="J50" s="1">
        <v>2</v>
      </c>
      <c r="K50" s="8" t="str">
        <f>CustomFormatWbsIdx(B50,E50,F50,G50,H50,I50,J50)</f>
        <v>001.001.002.001.---.002</v>
      </c>
      <c r="L50" s="8">
        <v>1</v>
      </c>
      <c r="M50" s="8">
        <f>CustomFuncGetLevel(E50,F50,G50,H50,I50)</f>
        <v>4</v>
      </c>
      <c r="N50" s="8" t="b">
        <f>AND(J50&lt;&gt;"",ISNUMBER(J50))</f>
        <v>1</v>
      </c>
      <c r="O50" s="8" t="b">
        <f>NOT(OR(AB50="削除",AB50="移管済",AB50="棚上げ",AB50="却下"))</f>
        <v>1</v>
      </c>
      <c r="P50" s="8" t="b">
        <v>1</v>
      </c>
      <c r="Q50" s="8" t="b">
        <v>0</v>
      </c>
      <c r="R50" s="8" t="str">
        <f>CustomFormatWbsId(B50,E50,F50,G50,H50,I50,J50)</f>
        <v>1.1.2.1.T2</v>
      </c>
      <c r="S50" s="2"/>
      <c r="T50" s="2"/>
      <c r="U50" s="2"/>
      <c r="V50" s="2"/>
      <c r="W50" s="2"/>
      <c r="X50" s="2" t="s">
        <v>68</v>
      </c>
      <c r="Y50" s="2"/>
      <c r="Z50" s="7">
        <v>1</v>
      </c>
      <c r="AA50" s="7">
        <v>0</v>
      </c>
      <c r="AB50" s="1" t="s">
        <v>84</v>
      </c>
      <c r="AC50" s="1">
        <v>0.5</v>
      </c>
      <c r="AD50" s="3">
        <v>0</v>
      </c>
      <c r="AE50" s="1">
        <v>1</v>
      </c>
      <c r="AF50" s="1" t="s">
        <v>79</v>
      </c>
      <c r="AG50" s="1" t="s">
        <v>79</v>
      </c>
      <c r="AH50" s="4"/>
      <c r="AI50" s="1">
        <v>2</v>
      </c>
      <c r="AJ50" s="1"/>
      <c r="AK50" s="1"/>
      <c r="AL50" s="1">
        <v>1</v>
      </c>
      <c r="AM50" s="1">
        <v>1</v>
      </c>
      <c r="AN50" s="1"/>
      <c r="AO50" s="1"/>
      <c r="AP50" s="1" t="s">
        <v>79</v>
      </c>
      <c r="AQ50" s="1" t="s">
        <v>79</v>
      </c>
      <c r="AR50" s="2"/>
    </row>
    <row r="51" spans="2:44" ht="18" customHeight="1">
      <c r="B51" s="17"/>
      <c r="C51" s="1" t="s">
        <v>1</v>
      </c>
      <c r="D51" s="1" t="s">
        <v>1</v>
      </c>
      <c r="E51" s="1">
        <v>1</v>
      </c>
      <c r="F51" s="1">
        <v>1</v>
      </c>
      <c r="G51" s="1">
        <v>2</v>
      </c>
      <c r="H51" s="1">
        <v>1</v>
      </c>
      <c r="I51" s="1"/>
      <c r="J51" s="1">
        <v>3</v>
      </c>
      <c r="K51" s="8" t="str">
        <f>CustomFormatWbsIdx(B51,E51,F51,G51,H51,I51,J51)</f>
        <v>001.001.002.001.---.003</v>
      </c>
      <c r="L51" s="8">
        <v>1</v>
      </c>
      <c r="M51" s="8">
        <f>CustomFuncGetLevel(E51,F51,G51,H51,I51)</f>
        <v>4</v>
      </c>
      <c r="N51" s="8" t="b">
        <f>AND(J51&lt;&gt;"",ISNUMBER(J51))</f>
        <v>1</v>
      </c>
      <c r="O51" s="8" t="b">
        <f>NOT(OR(AB51="削除",AB51="移管済",AB51="棚上げ",AB51="却下"))</f>
        <v>1</v>
      </c>
      <c r="P51" s="8" t="b">
        <v>1</v>
      </c>
      <c r="Q51" s="8" t="b">
        <v>0</v>
      </c>
      <c r="R51" s="8" t="str">
        <f>CustomFormatWbsId(B51,E51,F51,G51,H51,I51,J51)</f>
        <v>1.1.2.1.T3</v>
      </c>
      <c r="S51" s="2"/>
      <c r="T51" s="2"/>
      <c r="U51" s="2"/>
      <c r="V51" s="2"/>
      <c r="W51" s="2"/>
      <c r="X51" s="2" t="s">
        <v>69</v>
      </c>
      <c r="Y51" s="2"/>
      <c r="Z51" s="7">
        <v>1</v>
      </c>
      <c r="AA51" s="7">
        <v>0</v>
      </c>
      <c r="AB51" s="1" t="s">
        <v>79</v>
      </c>
      <c r="AC51" s="1">
        <v>0</v>
      </c>
      <c r="AD51" s="3">
        <v>0.5</v>
      </c>
      <c r="AE51" s="1">
        <v>1</v>
      </c>
      <c r="AF51" s="1" t="s">
        <v>79</v>
      </c>
      <c r="AG51" s="1" t="s">
        <v>79</v>
      </c>
      <c r="AH51" s="4"/>
      <c r="AI51" s="1">
        <v>0.5</v>
      </c>
      <c r="AJ51" s="1"/>
      <c r="AK51" s="1"/>
      <c r="AL51" s="1">
        <v>0.5</v>
      </c>
      <c r="AM51" s="1">
        <v>0</v>
      </c>
      <c r="AN51" s="1"/>
      <c r="AO51" s="1"/>
      <c r="AP51" s="1" t="s">
        <v>79</v>
      </c>
      <c r="AQ51" s="1" t="s">
        <v>79</v>
      </c>
      <c r="AR51" s="2"/>
    </row>
    <row r="52" spans="2:44" ht="18" customHeight="1">
      <c r="B52" s="17"/>
      <c r="C52" s="1" t="s">
        <v>1</v>
      </c>
      <c r="D52" s="1" t="s">
        <v>1</v>
      </c>
      <c r="E52" s="1">
        <v>1</v>
      </c>
      <c r="F52" s="1">
        <v>1</v>
      </c>
      <c r="G52" s="1">
        <v>2</v>
      </c>
      <c r="H52" s="1">
        <v>1</v>
      </c>
      <c r="I52" s="1">
        <v>1</v>
      </c>
      <c r="J52" s="1"/>
      <c r="K52" s="8" t="str">
        <f>CustomFormatWbsIdx(B52,E52,F52,G52,H52,I52,J52)</f>
        <v>001.001.002.001.001.---</v>
      </c>
      <c r="L52" s="8">
        <v>1</v>
      </c>
      <c r="M52" s="8">
        <f>CustomFuncGetLevel(E52,F52,G52,H52,I52)</f>
        <v>5</v>
      </c>
      <c r="N52" s="8" t="b">
        <f>AND(J52&lt;&gt;"",ISNUMBER(J52))</f>
        <v>0</v>
      </c>
      <c r="O52" s="8" t="b">
        <f>NOT(OR(AB52="削除",AB52="移管済",AB52="棚上げ",AB52="却下"))</f>
        <v>1</v>
      </c>
      <c r="P52" s="8" t="b">
        <v>1</v>
      </c>
      <c r="Q52" s="8" t="b">
        <v>1</v>
      </c>
      <c r="R52" s="8" t="str">
        <f>CustomFormatWbsId(B52,E52,F52,G52,H52,I52,J52)</f>
        <v>1.1.2.1.1</v>
      </c>
      <c r="S52" s="2"/>
      <c r="T52" s="2"/>
      <c r="U52" s="2"/>
      <c r="V52" s="2"/>
      <c r="W52" s="2" t="s">
        <v>70</v>
      </c>
      <c r="X52" s="2"/>
      <c r="Y52" s="2"/>
      <c r="Z52" s="7">
        <v>3</v>
      </c>
      <c r="AA52" s="7">
        <v>0</v>
      </c>
      <c r="AB52" s="1" t="s">
        <v>79</v>
      </c>
      <c r="AC52" s="1">
        <v>0.73333333333333339</v>
      </c>
      <c r="AD52" s="3">
        <v>0.53333334128061927</v>
      </c>
      <c r="AE52" s="1">
        <v>1</v>
      </c>
      <c r="AF52" s="1" t="s">
        <v>79</v>
      </c>
      <c r="AG52" s="1" t="s">
        <v>79</v>
      </c>
      <c r="AH52" s="4"/>
      <c r="AI52" s="1">
        <v>5</v>
      </c>
      <c r="AJ52" s="1"/>
      <c r="AK52" s="1"/>
      <c r="AL52" s="1">
        <v>2</v>
      </c>
      <c r="AM52" s="1">
        <v>2</v>
      </c>
      <c r="AN52" s="1"/>
      <c r="AO52" s="1"/>
      <c r="AP52" s="1" t="s">
        <v>79</v>
      </c>
      <c r="AQ52" s="1" t="s">
        <v>79</v>
      </c>
      <c r="AR52" s="2"/>
    </row>
    <row r="53" spans="2:44" ht="18" customHeight="1">
      <c r="B53" s="17"/>
      <c r="C53" s="1" t="s">
        <v>1</v>
      </c>
      <c r="D53" s="1" t="s">
        <v>1</v>
      </c>
      <c r="E53" s="1">
        <v>1</v>
      </c>
      <c r="F53" s="1">
        <v>1</v>
      </c>
      <c r="G53" s="1">
        <v>2</v>
      </c>
      <c r="H53" s="1">
        <v>1</v>
      </c>
      <c r="I53" s="1">
        <v>1</v>
      </c>
      <c r="J53" s="1">
        <v>1</v>
      </c>
      <c r="K53" s="8" t="str">
        <f>CustomFormatWbsIdx(B53,E53,F53,G53,H53,I53,J53)</f>
        <v>001.001.002.001.001.001</v>
      </c>
      <c r="L53" s="8">
        <v>1</v>
      </c>
      <c r="M53" s="8">
        <f>CustomFuncGetLevel(E53,F53,G53,H53,I53)</f>
        <v>5</v>
      </c>
      <c r="N53" s="8" t="b">
        <f>AND(J53&lt;&gt;"",ISNUMBER(J53))</f>
        <v>1</v>
      </c>
      <c r="O53" s="8" t="b">
        <f>NOT(OR(AB53="削除",AB53="移管済",AB53="棚上げ",AB53="却下"))</f>
        <v>1</v>
      </c>
      <c r="P53" s="8" t="b">
        <v>1</v>
      </c>
      <c r="Q53" s="8" t="b">
        <v>0</v>
      </c>
      <c r="R53" s="8" t="str">
        <f>CustomFormatWbsId(B53,E53,F53,G53,H53,I53,J53)</f>
        <v>1.1.2.1.1.T1</v>
      </c>
      <c r="S53" s="2"/>
      <c r="T53" s="2"/>
      <c r="U53" s="2"/>
      <c r="V53" s="2"/>
      <c r="W53" s="2"/>
      <c r="X53" s="2" t="s">
        <v>71</v>
      </c>
      <c r="Y53" s="2"/>
      <c r="Z53" s="7">
        <v>1</v>
      </c>
      <c r="AA53" s="7">
        <v>0</v>
      </c>
      <c r="AB53" s="1" t="s">
        <v>79</v>
      </c>
      <c r="AC53" s="1">
        <v>1</v>
      </c>
      <c r="AD53" s="3">
        <v>0.60000002384185791</v>
      </c>
      <c r="AE53" s="1">
        <v>1</v>
      </c>
      <c r="AF53" s="1" t="s">
        <v>79</v>
      </c>
      <c r="AG53" s="1" t="s">
        <v>79</v>
      </c>
      <c r="AH53" s="4"/>
      <c r="AI53" s="1">
        <v>2.5</v>
      </c>
      <c r="AJ53" s="1"/>
      <c r="AK53" s="1"/>
      <c r="AL53" s="1">
        <v>0</v>
      </c>
      <c r="AM53" s="1">
        <v>1</v>
      </c>
      <c r="AN53" s="1"/>
      <c r="AO53" s="1"/>
      <c r="AP53" s="1" t="s">
        <v>79</v>
      </c>
      <c r="AQ53" s="1" t="s">
        <v>79</v>
      </c>
      <c r="AR53" s="2"/>
    </row>
    <row r="54" spans="2:44" ht="18" customHeight="1">
      <c r="B54" s="17"/>
      <c r="C54" s="1" t="s">
        <v>1</v>
      </c>
      <c r="D54" s="1" t="s">
        <v>1</v>
      </c>
      <c r="E54" s="1">
        <v>1</v>
      </c>
      <c r="F54" s="1">
        <v>1</v>
      </c>
      <c r="G54" s="1">
        <v>2</v>
      </c>
      <c r="H54" s="1">
        <v>1</v>
      </c>
      <c r="I54" s="1">
        <v>1</v>
      </c>
      <c r="J54" s="1">
        <v>2</v>
      </c>
      <c r="K54" s="8" t="str">
        <f>CustomFormatWbsIdx(B54,E54,F54,G54,H54,I54,J54)</f>
        <v>001.001.002.001.001.002</v>
      </c>
      <c r="L54" s="8">
        <v>1</v>
      </c>
      <c r="M54" s="8">
        <f>CustomFuncGetLevel(E54,F54,G54,H54,I54)</f>
        <v>5</v>
      </c>
      <c r="N54" s="8" t="b">
        <f>AND(J54&lt;&gt;"",ISNUMBER(J54))</f>
        <v>1</v>
      </c>
      <c r="O54" s="8" t="b">
        <f>NOT(OR(AB54="削除",AB54="移管済",AB54="棚上げ",AB54="却下"))</f>
        <v>1</v>
      </c>
      <c r="P54" s="8" t="b">
        <v>1</v>
      </c>
      <c r="Q54" s="8" t="b">
        <v>0</v>
      </c>
      <c r="R54" s="8" t="str">
        <f>CustomFormatWbsId(B54,E54,F54,G54,H54,I54,J54)</f>
        <v>1.1.2.1.1.T2</v>
      </c>
      <c r="S54" s="2"/>
      <c r="T54" s="2"/>
      <c r="U54" s="2"/>
      <c r="V54" s="2"/>
      <c r="W54" s="2"/>
      <c r="X54" s="2" t="s">
        <v>72</v>
      </c>
      <c r="Y54" s="2"/>
      <c r="Z54" s="7">
        <v>1</v>
      </c>
      <c r="AA54" s="7">
        <v>0</v>
      </c>
      <c r="AB54" s="1" t="s">
        <v>79</v>
      </c>
      <c r="AC54" s="1">
        <v>0.2</v>
      </c>
      <c r="AD54" s="3">
        <v>0.30000001192092896</v>
      </c>
      <c r="AE54" s="1">
        <v>1</v>
      </c>
      <c r="AF54" s="1" t="s">
        <v>79</v>
      </c>
      <c r="AG54" s="1" t="s">
        <v>79</v>
      </c>
      <c r="AH54" s="4"/>
      <c r="AI54" s="1">
        <v>2.5</v>
      </c>
      <c r="AJ54" s="1"/>
      <c r="AK54" s="1"/>
      <c r="AL54" s="1">
        <v>2</v>
      </c>
      <c r="AM54" s="1">
        <v>0.5</v>
      </c>
      <c r="AN54" s="1"/>
      <c r="AO54" s="1"/>
      <c r="AP54" s="1" t="s">
        <v>79</v>
      </c>
      <c r="AQ54" s="1" t="s">
        <v>79</v>
      </c>
      <c r="AR54" s="2"/>
    </row>
    <row r="55" spans="2:44" ht="18" customHeight="1">
      <c r="B55" s="17"/>
      <c r="C55" s="1" t="s">
        <v>1</v>
      </c>
      <c r="D55" s="1" t="s">
        <v>1</v>
      </c>
      <c r="E55" s="1">
        <v>1</v>
      </c>
      <c r="F55" s="1">
        <v>1</v>
      </c>
      <c r="G55" s="1">
        <v>2</v>
      </c>
      <c r="H55" s="1">
        <v>1</v>
      </c>
      <c r="I55" s="1">
        <v>1</v>
      </c>
      <c r="J55" s="1">
        <v>3</v>
      </c>
      <c r="K55" s="8" t="str">
        <f>CustomFormatWbsIdx(B55,E55,F55,G55,H55,I55,J55)</f>
        <v>001.001.002.001.001.003</v>
      </c>
      <c r="L55" s="8">
        <v>1</v>
      </c>
      <c r="M55" s="8">
        <f>CustomFuncGetLevel(E55,F55,G55,H55,I55)</f>
        <v>5</v>
      </c>
      <c r="N55" s="8" t="b">
        <f>AND(J55&lt;&gt;"",ISNUMBER(J55))</f>
        <v>1</v>
      </c>
      <c r="O55" s="8" t="b">
        <f>NOT(OR(AB55="削除",AB55="移管済",AB55="棚上げ",AB55="却下"))</f>
        <v>1</v>
      </c>
      <c r="P55" s="8" t="b">
        <v>1</v>
      </c>
      <c r="Q55" s="8" t="b">
        <v>0</v>
      </c>
      <c r="R55" s="8" t="str">
        <f>CustomFormatWbsId(B55,E55,F55,G55,H55,I55,J55)</f>
        <v>1.1.2.1.1.T3</v>
      </c>
      <c r="S55" s="2"/>
      <c r="T55" s="2"/>
      <c r="U55" s="2"/>
      <c r="V55" s="2"/>
      <c r="W55" s="2"/>
      <c r="X55" s="2"/>
      <c r="Y55" s="2"/>
      <c r="Z55" s="7">
        <v>1</v>
      </c>
      <c r="AA55" s="7">
        <v>0</v>
      </c>
      <c r="AB55" s="1" t="s">
        <v>79</v>
      </c>
      <c r="AC55" s="1">
        <v>1</v>
      </c>
      <c r="AD55" s="3">
        <v>0.69999998807907104</v>
      </c>
      <c r="AE55" s="1">
        <v>1</v>
      </c>
      <c r="AF55" s="1" t="s">
        <v>79</v>
      </c>
      <c r="AG55" s="1" t="s">
        <v>79</v>
      </c>
      <c r="AH55" s="4"/>
      <c r="AI55" s="1">
        <v>0</v>
      </c>
      <c r="AJ55" s="1"/>
      <c r="AK55" s="1"/>
      <c r="AL55" s="1">
        <v>0</v>
      </c>
      <c r="AM55" s="1">
        <v>0.5</v>
      </c>
      <c r="AN55" s="1"/>
      <c r="AO55" s="1"/>
      <c r="AP55" s="1" t="s">
        <v>79</v>
      </c>
      <c r="AQ55" s="1" t="s">
        <v>79</v>
      </c>
      <c r="AR55" s="2"/>
    </row>
    <row r="56" spans="2:44" ht="18" customHeight="1">
      <c r="B56" s="17"/>
      <c r="C56" s="1" t="s">
        <v>1</v>
      </c>
      <c r="D56" s="1" t="s">
        <v>1</v>
      </c>
      <c r="E56" s="1">
        <v>1</v>
      </c>
      <c r="F56" s="1">
        <v>1</v>
      </c>
      <c r="G56" s="1">
        <v>2</v>
      </c>
      <c r="H56" s="1">
        <v>1</v>
      </c>
      <c r="I56" s="1">
        <v>2</v>
      </c>
      <c r="J56" s="1"/>
      <c r="K56" s="8" t="str">
        <f>CustomFormatWbsIdx(B56,E56,F56,G56,H56,I56,J56)</f>
        <v>001.001.002.001.002.---</v>
      </c>
      <c r="L56" s="8">
        <v>1</v>
      </c>
      <c r="M56" s="8">
        <f>CustomFuncGetLevel(E56,F56,G56,H56,I56)</f>
        <v>5</v>
      </c>
      <c r="N56" s="8" t="b">
        <f>AND(J56&lt;&gt;"",ISNUMBER(J56))</f>
        <v>0</v>
      </c>
      <c r="O56" s="8" t="b">
        <f>NOT(OR(AB56="削除",AB56="移管済",AB56="棚上げ",AB56="却下"))</f>
        <v>1</v>
      </c>
      <c r="P56" s="8" t="b">
        <v>1</v>
      </c>
      <c r="Q56" s="8" t="b">
        <v>1</v>
      </c>
      <c r="R56" s="8" t="str">
        <f>CustomFormatWbsId(B56,E56,F56,G56,H56,I56,J56)</f>
        <v>1.1.2.1.2</v>
      </c>
      <c r="S56" s="2"/>
      <c r="T56" s="2"/>
      <c r="U56" s="2"/>
      <c r="V56" s="2"/>
      <c r="W56" s="2"/>
      <c r="X56" s="2"/>
      <c r="Y56" s="2"/>
      <c r="Z56" s="7">
        <v>3</v>
      </c>
      <c r="AA56" s="7">
        <v>0</v>
      </c>
      <c r="AB56" s="1" t="s">
        <v>79</v>
      </c>
      <c r="AC56" s="1">
        <v>0.27777777777777773</v>
      </c>
      <c r="AD56" s="3">
        <v>0.72499999403953552</v>
      </c>
      <c r="AE56" s="1">
        <v>1</v>
      </c>
      <c r="AF56" s="1" t="s">
        <v>79</v>
      </c>
      <c r="AG56" s="1" t="s">
        <v>79</v>
      </c>
      <c r="AH56" s="4"/>
      <c r="AI56" s="1">
        <v>2.5</v>
      </c>
      <c r="AJ56" s="1"/>
      <c r="AK56" s="1"/>
      <c r="AL56" s="1">
        <v>4.5</v>
      </c>
      <c r="AM56" s="1">
        <v>1.5</v>
      </c>
      <c r="AN56" s="1"/>
      <c r="AO56" s="1"/>
      <c r="AP56" s="1" t="s">
        <v>79</v>
      </c>
      <c r="AQ56" s="1" t="s">
        <v>79</v>
      </c>
      <c r="AR56" s="2"/>
    </row>
    <row r="57" spans="2:44" ht="18" customHeight="1">
      <c r="B57" s="17"/>
      <c r="C57" s="1" t="s">
        <v>1</v>
      </c>
      <c r="D57" s="1" t="s">
        <v>1</v>
      </c>
      <c r="E57" s="1">
        <v>1</v>
      </c>
      <c r="F57" s="1">
        <v>1</v>
      </c>
      <c r="G57" s="1">
        <v>2</v>
      </c>
      <c r="H57" s="1">
        <v>1</v>
      </c>
      <c r="I57" s="1">
        <v>2</v>
      </c>
      <c r="J57" s="1">
        <v>1</v>
      </c>
      <c r="K57" s="8" t="str">
        <f>CustomFormatWbsIdx(B57,E57,F57,G57,H57,I57,J57)</f>
        <v>001.001.002.001.002.001</v>
      </c>
      <c r="L57" s="8">
        <v>1</v>
      </c>
      <c r="M57" s="8">
        <f>CustomFuncGetLevel(E57,F57,G57,H57,I57)</f>
        <v>5</v>
      </c>
      <c r="N57" s="8" t="b">
        <f>AND(J57&lt;&gt;"",ISNUMBER(J57))</f>
        <v>1</v>
      </c>
      <c r="O57" s="8" t="b">
        <f>NOT(OR(AB57="削除",AB57="移管済",AB57="棚上げ",AB57="却下"))</f>
        <v>1</v>
      </c>
      <c r="P57" s="8" t="b">
        <v>1</v>
      </c>
      <c r="Q57" s="8" t="b">
        <v>0</v>
      </c>
      <c r="R57" s="8" t="str">
        <f>CustomFormatWbsId(B57,E57,F57,G57,H57,I57,J57)</f>
        <v>1.1.2.1.2.T1</v>
      </c>
      <c r="S57" s="2"/>
      <c r="T57" s="2"/>
      <c r="U57" s="2"/>
      <c r="V57" s="2"/>
      <c r="W57" s="2"/>
      <c r="X57" s="2" t="s">
        <v>71</v>
      </c>
      <c r="Y57" s="2"/>
      <c r="Z57" s="7">
        <v>1</v>
      </c>
      <c r="AA57" s="7">
        <v>0</v>
      </c>
      <c r="AB57" s="1" t="s">
        <v>79</v>
      </c>
      <c r="AC57" s="1">
        <v>0.33333333333333331</v>
      </c>
      <c r="AD57" s="3">
        <v>0.80000001192092896</v>
      </c>
      <c r="AE57" s="1">
        <v>1</v>
      </c>
      <c r="AF57" s="1" t="s">
        <v>79</v>
      </c>
      <c r="AG57" s="1" t="s">
        <v>79</v>
      </c>
      <c r="AH57" s="4"/>
      <c r="AI57" s="1">
        <v>0.5</v>
      </c>
      <c r="AJ57" s="1"/>
      <c r="AK57" s="1"/>
      <c r="AL57" s="1">
        <v>1</v>
      </c>
      <c r="AM57" s="1">
        <v>0.5</v>
      </c>
      <c r="AN57" s="1"/>
      <c r="AO57" s="1"/>
      <c r="AP57" s="1" t="s">
        <v>79</v>
      </c>
      <c r="AQ57" s="1" t="s">
        <v>79</v>
      </c>
      <c r="AR57" s="2"/>
    </row>
    <row r="58" spans="2:44" ht="18" customHeight="1">
      <c r="B58" s="17"/>
      <c r="C58" s="1" t="s">
        <v>1</v>
      </c>
      <c r="D58" s="1" t="s">
        <v>1</v>
      </c>
      <c r="E58" s="1">
        <v>1</v>
      </c>
      <c r="F58" s="1">
        <v>1</v>
      </c>
      <c r="G58" s="1">
        <v>2</v>
      </c>
      <c r="H58" s="1">
        <v>1</v>
      </c>
      <c r="I58" s="1">
        <v>2</v>
      </c>
      <c r="J58" s="1">
        <v>2</v>
      </c>
      <c r="K58" s="8" t="str">
        <f>CustomFormatWbsIdx(B58,E58,F58,G58,H58,I58,J58)</f>
        <v>001.001.002.001.002.002</v>
      </c>
      <c r="L58" s="8">
        <v>1</v>
      </c>
      <c r="M58" s="8">
        <f>CustomFuncGetLevel(E58,F58,G58,H58,I58)</f>
        <v>5</v>
      </c>
      <c r="N58" s="8" t="b">
        <f>AND(J58&lt;&gt;"",ISNUMBER(J58))</f>
        <v>1</v>
      </c>
      <c r="O58" s="8" t="b">
        <f>NOT(OR(AB58="削除",AB58="移管済",AB58="棚上げ",AB58="却下"))</f>
        <v>1</v>
      </c>
      <c r="P58" s="8" t="b">
        <v>1</v>
      </c>
      <c r="Q58" s="8" t="b">
        <v>0</v>
      </c>
      <c r="R58" s="8" t="str">
        <f>CustomFormatWbsId(B58,E58,F58,G58,H58,I58,J58)</f>
        <v>1.1.2.1.2.T2</v>
      </c>
      <c r="S58" s="2"/>
      <c r="T58" s="2"/>
      <c r="U58" s="2"/>
      <c r="V58" s="2"/>
      <c r="W58" s="2"/>
      <c r="X58" s="2" t="s">
        <v>72</v>
      </c>
      <c r="Y58" s="2"/>
      <c r="Z58" s="7">
        <v>1</v>
      </c>
      <c r="AA58" s="7">
        <v>0</v>
      </c>
      <c r="AB58" s="1" t="s">
        <v>79</v>
      </c>
      <c r="AC58" s="1">
        <v>0.33333333333333331</v>
      </c>
      <c r="AD58" s="3">
        <v>0.30000001192092896</v>
      </c>
      <c r="AE58" s="1">
        <v>1</v>
      </c>
      <c r="AF58" s="1" t="s">
        <v>79</v>
      </c>
      <c r="AG58" s="1" t="s">
        <v>79</v>
      </c>
      <c r="AH58" s="4"/>
      <c r="AI58" s="1">
        <v>0</v>
      </c>
      <c r="AJ58" s="1"/>
      <c r="AK58" s="1"/>
      <c r="AL58" s="1">
        <v>1</v>
      </c>
      <c r="AM58" s="1">
        <v>0.5</v>
      </c>
      <c r="AN58" s="1"/>
      <c r="AO58" s="1"/>
      <c r="AP58" s="1" t="s">
        <v>79</v>
      </c>
      <c r="AQ58" s="1" t="s">
        <v>79</v>
      </c>
      <c r="AR58" s="2"/>
    </row>
    <row r="59" spans="2:44" ht="18" customHeight="1">
      <c r="B59" s="17"/>
      <c r="C59" s="1" t="s">
        <v>1</v>
      </c>
      <c r="D59" s="1" t="s">
        <v>1</v>
      </c>
      <c r="E59" s="1">
        <v>1</v>
      </c>
      <c r="F59" s="1">
        <v>1</v>
      </c>
      <c r="G59" s="1">
        <v>2</v>
      </c>
      <c r="H59" s="1">
        <v>1</v>
      </c>
      <c r="I59" s="1">
        <v>2</v>
      </c>
      <c r="J59" s="1">
        <v>3</v>
      </c>
      <c r="K59" s="8" t="str">
        <f>CustomFormatWbsIdx(B59,E59,F59,G59,H59,I59,J59)</f>
        <v>001.001.002.001.002.003</v>
      </c>
      <c r="L59" s="8">
        <v>1</v>
      </c>
      <c r="M59" s="8">
        <f>CustomFuncGetLevel(E59,F59,G59,H59,I59)</f>
        <v>5</v>
      </c>
      <c r="N59" s="8" t="b">
        <f>AND(J59&lt;&gt;"",ISNUMBER(J59))</f>
        <v>1</v>
      </c>
      <c r="O59" s="8" t="b">
        <f>NOT(OR(AB59="削除",AB59="移管済",AB59="棚上げ",AB59="却下"))</f>
        <v>1</v>
      </c>
      <c r="P59" s="8" t="b">
        <v>1</v>
      </c>
      <c r="Q59" s="8" t="b">
        <v>0</v>
      </c>
      <c r="R59" s="8" t="str">
        <f>CustomFormatWbsId(B59,E59,F59,G59,H59,I59,J59)</f>
        <v>1.1.2.1.2.T3</v>
      </c>
      <c r="S59" s="2"/>
      <c r="T59" s="2"/>
      <c r="U59" s="2"/>
      <c r="V59" s="2"/>
      <c r="W59" s="2"/>
      <c r="X59" s="2"/>
      <c r="Y59" s="2"/>
      <c r="Z59" s="7">
        <v>1</v>
      </c>
      <c r="AA59" s="7">
        <v>0</v>
      </c>
      <c r="AB59" s="1" t="s">
        <v>79</v>
      </c>
      <c r="AC59" s="1">
        <v>0.16666666666666666</v>
      </c>
      <c r="AD59" s="3">
        <v>0.89999997615814209</v>
      </c>
      <c r="AE59" s="1">
        <v>2</v>
      </c>
      <c r="AF59" s="1" t="s">
        <v>79</v>
      </c>
      <c r="AG59" s="1" t="s">
        <v>79</v>
      </c>
      <c r="AH59" s="4"/>
      <c r="AI59" s="1">
        <v>2</v>
      </c>
      <c r="AJ59" s="1"/>
      <c r="AK59" s="1"/>
      <c r="AL59" s="1">
        <v>2.5</v>
      </c>
      <c r="AM59" s="1">
        <v>0.5</v>
      </c>
      <c r="AN59" s="1"/>
      <c r="AO59" s="1"/>
      <c r="AP59" s="1" t="s">
        <v>79</v>
      </c>
      <c r="AQ59" s="1" t="s">
        <v>79</v>
      </c>
      <c r="AR59" s="2"/>
    </row>
    <row r="60" spans="2:44" ht="18" customHeight="1">
      <c r="B60" s="17"/>
      <c r="C60" s="1" t="s">
        <v>1</v>
      </c>
      <c r="D60" s="1" t="s">
        <v>1</v>
      </c>
      <c r="E60" s="1">
        <v>1</v>
      </c>
      <c r="F60" s="1">
        <v>1</v>
      </c>
      <c r="G60" s="1">
        <v>2</v>
      </c>
      <c r="H60" s="1">
        <v>2</v>
      </c>
      <c r="I60" s="1"/>
      <c r="J60" s="1"/>
      <c r="K60" s="8" t="str">
        <f>CustomFormatWbsIdx(B60,E60,F60,G60,H60,I60,J60)</f>
        <v>001.001.002.002.---.---</v>
      </c>
      <c r="L60" s="8">
        <v>1</v>
      </c>
      <c r="M60" s="8">
        <f>CustomFuncGetLevel(E60,F60,G60,H60,I60)</f>
        <v>4</v>
      </c>
      <c r="N60" s="8" t="b">
        <f>AND(J60&lt;&gt;"",ISNUMBER(J60))</f>
        <v>0</v>
      </c>
      <c r="O60" s="8" t="b">
        <f>NOT(OR(AB60="削除",AB60="移管済",AB60="棚上げ",AB60="却下"))</f>
        <v>1</v>
      </c>
      <c r="P60" s="8" t="b">
        <v>1</v>
      </c>
      <c r="Q60" s="8" t="b">
        <v>1</v>
      </c>
      <c r="R60" s="8" t="str">
        <f>CustomFormatWbsId(B60,E60,F60,G60,H60,I60,J60)</f>
        <v>1.1.2.2</v>
      </c>
      <c r="S60" s="2"/>
      <c r="T60" s="2"/>
      <c r="U60" s="2"/>
      <c r="V60" s="2"/>
      <c r="W60" s="2"/>
      <c r="X60" s="2"/>
      <c r="Y60" s="2"/>
      <c r="Z60" s="7">
        <v>9</v>
      </c>
      <c r="AA60" s="7">
        <v>1</v>
      </c>
      <c r="AB60" s="1" t="s">
        <v>79</v>
      </c>
      <c r="AC60" s="1">
        <v>0.56388888888888888</v>
      </c>
      <c r="AD60" s="3">
        <v>0.74799999952316276</v>
      </c>
      <c r="AE60" s="1">
        <v>1</v>
      </c>
      <c r="AF60" s="1" t="s">
        <v>79</v>
      </c>
      <c r="AG60" s="1" t="s">
        <v>79</v>
      </c>
      <c r="AH60" s="4"/>
      <c r="AI60" s="1">
        <v>9</v>
      </c>
      <c r="AJ60" s="1"/>
      <c r="AK60" s="1"/>
      <c r="AL60" s="1">
        <v>11</v>
      </c>
      <c r="AM60" s="1">
        <v>12</v>
      </c>
      <c r="AN60" s="1"/>
      <c r="AO60" s="1"/>
      <c r="AP60" s="1" t="s">
        <v>79</v>
      </c>
      <c r="AQ60" s="1" t="s">
        <v>79</v>
      </c>
      <c r="AR60" s="2"/>
    </row>
    <row r="61" spans="2:44" ht="18" customHeight="1">
      <c r="B61" s="17"/>
      <c r="C61" s="1" t="s">
        <v>1</v>
      </c>
      <c r="D61" s="1" t="s">
        <v>1</v>
      </c>
      <c r="E61" s="1">
        <v>1</v>
      </c>
      <c r="F61" s="1">
        <v>1</v>
      </c>
      <c r="G61" s="1">
        <v>2</v>
      </c>
      <c r="H61" s="1">
        <v>2</v>
      </c>
      <c r="I61" s="1"/>
      <c r="J61" s="1">
        <v>1</v>
      </c>
      <c r="K61" s="8" t="str">
        <f>CustomFormatWbsIdx(B61,E61,F61,G61,H61,I61,J61)</f>
        <v>001.001.002.002.---.001</v>
      </c>
      <c r="L61" s="8">
        <v>1</v>
      </c>
      <c r="M61" s="8">
        <f>CustomFuncGetLevel(E61,F61,G61,H61,I61)</f>
        <v>4</v>
      </c>
      <c r="N61" s="8" t="b">
        <f>AND(J61&lt;&gt;"",ISNUMBER(J61))</f>
        <v>1</v>
      </c>
      <c r="O61" s="8" t="b">
        <f>NOT(OR(AB61="削除",AB61="移管済",AB61="棚上げ",AB61="却下"))</f>
        <v>1</v>
      </c>
      <c r="P61" s="8" t="b">
        <v>1</v>
      </c>
      <c r="Q61" s="8" t="b">
        <v>0</v>
      </c>
      <c r="R61" s="8" t="str">
        <f>CustomFormatWbsId(B61,E61,F61,G61,H61,I61,J61)</f>
        <v>1.1.2.2.T1</v>
      </c>
      <c r="S61" s="2"/>
      <c r="T61" s="2"/>
      <c r="U61" s="2"/>
      <c r="V61" s="2"/>
      <c r="W61" s="2"/>
      <c r="X61" s="2" t="s">
        <v>67</v>
      </c>
      <c r="Y61" s="2"/>
      <c r="Z61" s="7">
        <v>1</v>
      </c>
      <c r="AA61" s="7">
        <v>1</v>
      </c>
      <c r="AB61" s="1" t="s">
        <v>32</v>
      </c>
      <c r="AC61" s="1">
        <v>1</v>
      </c>
      <c r="AD61" s="3">
        <v>1</v>
      </c>
      <c r="AE61" s="1">
        <v>1</v>
      </c>
      <c r="AF61" s="1" t="s">
        <v>79</v>
      </c>
      <c r="AG61" s="1" t="s">
        <v>79</v>
      </c>
      <c r="AH61" s="4"/>
      <c r="AI61" s="1">
        <v>0</v>
      </c>
      <c r="AJ61" s="1"/>
      <c r="AK61" s="1"/>
      <c r="AL61" s="1">
        <v>0</v>
      </c>
      <c r="AM61" s="1">
        <v>1</v>
      </c>
      <c r="AN61" s="1"/>
      <c r="AO61" s="1"/>
      <c r="AP61" s="1" t="s">
        <v>79</v>
      </c>
      <c r="AQ61" s="1" t="s">
        <v>79</v>
      </c>
      <c r="AR61" s="2"/>
    </row>
    <row r="62" spans="2:44" ht="18" customHeight="1">
      <c r="B62" s="17"/>
      <c r="C62" s="1" t="s">
        <v>1</v>
      </c>
      <c r="D62" s="1" t="s">
        <v>1</v>
      </c>
      <c r="E62" s="1">
        <v>1</v>
      </c>
      <c r="F62" s="1">
        <v>1</v>
      </c>
      <c r="G62" s="1">
        <v>2</v>
      </c>
      <c r="H62" s="1">
        <v>2</v>
      </c>
      <c r="I62" s="1"/>
      <c r="J62" s="1">
        <v>2</v>
      </c>
      <c r="K62" s="8" t="str">
        <f>CustomFormatWbsIdx(B62,E62,F62,G62,H62,I62,J62)</f>
        <v>001.001.002.002.---.002</v>
      </c>
      <c r="L62" s="8">
        <v>1</v>
      </c>
      <c r="M62" s="8">
        <f>CustomFuncGetLevel(E62,F62,G62,H62,I62)</f>
        <v>4</v>
      </c>
      <c r="N62" s="8" t="b">
        <f>AND(J62&lt;&gt;"",ISNUMBER(J62))</f>
        <v>1</v>
      </c>
      <c r="O62" s="8" t="b">
        <f>NOT(OR(AB62="削除",AB62="移管済",AB62="棚上げ",AB62="却下"))</f>
        <v>1</v>
      </c>
      <c r="P62" s="8" t="b">
        <v>1</v>
      </c>
      <c r="Q62" s="8" t="b">
        <v>0</v>
      </c>
      <c r="R62" s="8" t="str">
        <f>CustomFormatWbsId(B62,E62,F62,G62,H62,I62,J62)</f>
        <v>1.1.2.2.T2</v>
      </c>
      <c r="S62" s="2"/>
      <c r="T62" s="2"/>
      <c r="U62" s="2"/>
      <c r="V62" s="2"/>
      <c r="W62" s="2"/>
      <c r="X62" s="2" t="s">
        <v>68</v>
      </c>
      <c r="Y62" s="2"/>
      <c r="Z62" s="7">
        <v>1</v>
      </c>
      <c r="AA62" s="7">
        <v>0</v>
      </c>
      <c r="AB62" s="1" t="s">
        <v>84</v>
      </c>
      <c r="AC62" s="1">
        <v>0.375</v>
      </c>
      <c r="AD62" s="3">
        <v>1</v>
      </c>
      <c r="AE62" s="1">
        <v>1</v>
      </c>
      <c r="AF62" s="1" t="s">
        <v>79</v>
      </c>
      <c r="AG62" s="1" t="s">
        <v>79</v>
      </c>
      <c r="AH62" s="4"/>
      <c r="AI62" s="1">
        <v>0</v>
      </c>
      <c r="AJ62" s="1"/>
      <c r="AK62" s="1"/>
      <c r="AL62" s="1">
        <v>2.5</v>
      </c>
      <c r="AM62" s="1">
        <v>1.5</v>
      </c>
      <c r="AN62" s="1"/>
      <c r="AO62" s="1"/>
      <c r="AP62" s="1" t="s">
        <v>79</v>
      </c>
      <c r="AQ62" s="1" t="s">
        <v>79</v>
      </c>
      <c r="AR62" s="2"/>
    </row>
    <row r="63" spans="2:44" ht="18" customHeight="1">
      <c r="B63" s="17"/>
      <c r="C63" s="1" t="s">
        <v>1</v>
      </c>
      <c r="D63" s="1" t="s">
        <v>1</v>
      </c>
      <c r="E63" s="1">
        <v>1</v>
      </c>
      <c r="F63" s="1">
        <v>1</v>
      </c>
      <c r="G63" s="1">
        <v>2</v>
      </c>
      <c r="H63" s="1">
        <v>2</v>
      </c>
      <c r="I63" s="1"/>
      <c r="J63" s="1">
        <v>3</v>
      </c>
      <c r="K63" s="8" t="str">
        <f>CustomFormatWbsIdx(B63,E63,F63,G63,H63,I63,J63)</f>
        <v>001.001.002.002.---.003</v>
      </c>
      <c r="L63" s="8">
        <v>1</v>
      </c>
      <c r="M63" s="8">
        <f>CustomFuncGetLevel(E63,F63,G63,H63,I63)</f>
        <v>4</v>
      </c>
      <c r="N63" s="8" t="b">
        <f>AND(J63&lt;&gt;"",ISNUMBER(J63))</f>
        <v>1</v>
      </c>
      <c r="O63" s="8" t="b">
        <f>NOT(OR(AB63="削除",AB63="移管済",AB63="棚上げ",AB63="却下"))</f>
        <v>1</v>
      </c>
      <c r="P63" s="8" t="b">
        <v>1</v>
      </c>
      <c r="Q63" s="8" t="b">
        <v>0</v>
      </c>
      <c r="R63" s="8" t="str">
        <f>CustomFormatWbsId(B63,E63,F63,G63,H63,I63,J63)</f>
        <v>1.1.2.2.T3</v>
      </c>
      <c r="S63" s="2"/>
      <c r="T63" s="2"/>
      <c r="U63" s="2"/>
      <c r="V63" s="2"/>
      <c r="W63" s="2"/>
      <c r="X63" s="2" t="s">
        <v>69</v>
      </c>
      <c r="Y63" s="2"/>
      <c r="Z63" s="7">
        <v>1</v>
      </c>
      <c r="AA63" s="7">
        <v>0</v>
      </c>
      <c r="AB63" s="1" t="s">
        <v>79</v>
      </c>
      <c r="AC63" s="1">
        <v>0.33333333333333331</v>
      </c>
      <c r="AD63" s="3">
        <v>0.30000001192092896</v>
      </c>
      <c r="AE63" s="1">
        <v>1</v>
      </c>
      <c r="AF63" s="1" t="s">
        <v>79</v>
      </c>
      <c r="AG63" s="1" t="s">
        <v>79</v>
      </c>
      <c r="AH63" s="4"/>
      <c r="AI63" s="1">
        <v>0</v>
      </c>
      <c r="AJ63" s="1"/>
      <c r="AK63" s="1"/>
      <c r="AL63" s="1">
        <v>1</v>
      </c>
      <c r="AM63" s="1">
        <v>0.5</v>
      </c>
      <c r="AN63" s="1"/>
      <c r="AO63" s="1"/>
      <c r="AP63" s="1" t="s">
        <v>79</v>
      </c>
      <c r="AQ63" s="1" t="s">
        <v>79</v>
      </c>
      <c r="AR63" s="2"/>
    </row>
    <row r="64" spans="2:44" ht="18" customHeight="1">
      <c r="B64" s="17"/>
      <c r="C64" s="1" t="s">
        <v>1</v>
      </c>
      <c r="D64" s="1" t="s">
        <v>1</v>
      </c>
      <c r="E64" s="1">
        <v>1</v>
      </c>
      <c r="F64" s="1">
        <v>1</v>
      </c>
      <c r="G64" s="1">
        <v>2</v>
      </c>
      <c r="H64" s="1">
        <v>2</v>
      </c>
      <c r="I64" s="1">
        <v>1</v>
      </c>
      <c r="J64" s="1"/>
      <c r="K64" s="8" t="str">
        <f>CustomFormatWbsIdx(B64,E64,F64,G64,H64,I64,J64)</f>
        <v>001.001.002.002.001.---</v>
      </c>
      <c r="L64" s="8">
        <v>1</v>
      </c>
      <c r="M64" s="8">
        <f>CustomFuncGetLevel(E64,F64,G64,H64,I64)</f>
        <v>5</v>
      </c>
      <c r="N64" s="8" t="b">
        <f>AND(J64&lt;&gt;"",ISNUMBER(J64))</f>
        <v>0</v>
      </c>
      <c r="O64" s="8" t="b">
        <f>NOT(OR(AB64="削除",AB64="移管済",AB64="棚上げ",AB64="却下"))</f>
        <v>1</v>
      </c>
      <c r="P64" s="8" t="b">
        <v>1</v>
      </c>
      <c r="Q64" s="8" t="b">
        <v>1</v>
      </c>
      <c r="R64" s="8" t="str">
        <f>CustomFormatWbsId(B64,E64,F64,G64,H64,I64,J64)</f>
        <v>1.1.2.2.1</v>
      </c>
      <c r="S64" s="2"/>
      <c r="T64" s="2"/>
      <c r="U64" s="2"/>
      <c r="V64" s="2"/>
      <c r="W64" s="2" t="s">
        <v>70</v>
      </c>
      <c r="X64" s="2"/>
      <c r="Y64" s="2"/>
      <c r="Z64" s="7">
        <v>3</v>
      </c>
      <c r="AA64" s="7">
        <v>0</v>
      </c>
      <c r="AB64" s="1" t="s">
        <v>79</v>
      </c>
      <c r="AC64" s="1">
        <v>0.53333333333333333</v>
      </c>
      <c r="AD64" s="3">
        <v>0.9399999856948853</v>
      </c>
      <c r="AE64" s="1">
        <v>1</v>
      </c>
      <c r="AF64" s="1" t="s">
        <v>79</v>
      </c>
      <c r="AG64" s="1" t="s">
        <v>79</v>
      </c>
      <c r="AH64" s="4"/>
      <c r="AI64" s="1">
        <v>3.5</v>
      </c>
      <c r="AJ64" s="1"/>
      <c r="AK64" s="1"/>
      <c r="AL64" s="1">
        <v>4.5</v>
      </c>
      <c r="AM64" s="1">
        <v>5</v>
      </c>
      <c r="AN64" s="1"/>
      <c r="AO64" s="1"/>
      <c r="AP64" s="1" t="s">
        <v>79</v>
      </c>
      <c r="AQ64" s="1" t="s">
        <v>79</v>
      </c>
      <c r="AR64" s="2"/>
    </row>
    <row r="65" spans="2:44" ht="18" customHeight="1">
      <c r="B65" s="17"/>
      <c r="C65" s="1" t="s">
        <v>1</v>
      </c>
      <c r="D65" s="1" t="s">
        <v>1</v>
      </c>
      <c r="E65" s="1">
        <v>1</v>
      </c>
      <c r="F65" s="1">
        <v>1</v>
      </c>
      <c r="G65" s="1">
        <v>2</v>
      </c>
      <c r="H65" s="1">
        <v>2</v>
      </c>
      <c r="I65" s="1">
        <v>1</v>
      </c>
      <c r="J65" s="1">
        <v>1</v>
      </c>
      <c r="K65" s="8" t="str">
        <f>CustomFormatWbsIdx(B65,E65,F65,G65,H65,I65,J65)</f>
        <v>001.001.002.002.001.001</v>
      </c>
      <c r="L65" s="8">
        <v>1</v>
      </c>
      <c r="M65" s="8">
        <f>CustomFuncGetLevel(E65,F65,G65,H65,I65)</f>
        <v>5</v>
      </c>
      <c r="N65" s="8" t="b">
        <f>AND(J65&lt;&gt;"",ISNUMBER(J65))</f>
        <v>1</v>
      </c>
      <c r="O65" s="8" t="b">
        <f>NOT(OR(AB65="削除",AB65="移管済",AB65="棚上げ",AB65="却下"))</f>
        <v>1</v>
      </c>
      <c r="P65" s="8" t="b">
        <v>1</v>
      </c>
      <c r="Q65" s="8" t="b">
        <v>0</v>
      </c>
      <c r="R65" s="8" t="str">
        <f>CustomFormatWbsId(B65,E65,F65,G65,H65,I65,J65)</f>
        <v>1.1.2.2.1.T1</v>
      </c>
      <c r="S65" s="2"/>
      <c r="T65" s="2"/>
      <c r="U65" s="2"/>
      <c r="V65" s="2"/>
      <c r="W65" s="2"/>
      <c r="X65" s="2" t="s">
        <v>71</v>
      </c>
      <c r="Y65" s="2"/>
      <c r="Z65" s="7">
        <v>1</v>
      </c>
      <c r="AA65" s="7">
        <v>0</v>
      </c>
      <c r="AB65" s="1" t="s">
        <v>79</v>
      </c>
      <c r="AC65" s="1">
        <v>0.6</v>
      </c>
      <c r="AD65" s="3">
        <v>1</v>
      </c>
      <c r="AE65" s="1">
        <v>1</v>
      </c>
      <c r="AF65" s="1" t="s">
        <v>79</v>
      </c>
      <c r="AG65" s="1" t="s">
        <v>79</v>
      </c>
      <c r="AH65" s="4"/>
      <c r="AI65" s="1">
        <v>0</v>
      </c>
      <c r="AJ65" s="1"/>
      <c r="AK65" s="1"/>
      <c r="AL65" s="1">
        <v>1</v>
      </c>
      <c r="AM65" s="1">
        <v>1.5</v>
      </c>
      <c r="AN65" s="1"/>
      <c r="AO65" s="1"/>
      <c r="AP65" s="1" t="s">
        <v>79</v>
      </c>
      <c r="AQ65" s="1" t="s">
        <v>79</v>
      </c>
      <c r="AR65" s="2"/>
    </row>
    <row r="66" spans="2:44" ht="18" customHeight="1">
      <c r="B66" s="17"/>
      <c r="C66" s="1" t="s">
        <v>1</v>
      </c>
      <c r="D66" s="1" t="s">
        <v>1</v>
      </c>
      <c r="E66" s="1">
        <v>1</v>
      </c>
      <c r="F66" s="1">
        <v>1</v>
      </c>
      <c r="G66" s="1">
        <v>2</v>
      </c>
      <c r="H66" s="1">
        <v>2</v>
      </c>
      <c r="I66" s="1">
        <v>1</v>
      </c>
      <c r="J66" s="1">
        <v>2</v>
      </c>
      <c r="K66" s="8" t="str">
        <f>CustomFormatWbsIdx(B66,E66,F66,G66,H66,I66,J66)</f>
        <v>001.001.002.002.001.002</v>
      </c>
      <c r="L66" s="8">
        <v>1</v>
      </c>
      <c r="M66" s="8">
        <f>CustomFuncGetLevel(E66,F66,G66,H66,I66)</f>
        <v>5</v>
      </c>
      <c r="N66" s="8" t="b">
        <f>AND(J66&lt;&gt;"",ISNUMBER(J66))</f>
        <v>1</v>
      </c>
      <c r="O66" s="8" t="b">
        <f>NOT(OR(AB66="削除",AB66="移管済",AB66="棚上げ",AB66="却下"))</f>
        <v>1</v>
      </c>
      <c r="P66" s="8" t="b">
        <v>1</v>
      </c>
      <c r="Q66" s="8" t="b">
        <v>0</v>
      </c>
      <c r="R66" s="8" t="str">
        <f>CustomFormatWbsId(B66,E66,F66,G66,H66,I66,J66)</f>
        <v>1.1.2.2.1.T2</v>
      </c>
      <c r="S66" s="2"/>
      <c r="T66" s="2"/>
      <c r="U66" s="2"/>
      <c r="V66" s="2"/>
      <c r="W66" s="2"/>
      <c r="X66" s="2" t="s">
        <v>72</v>
      </c>
      <c r="Y66" s="2"/>
      <c r="Z66" s="7">
        <v>1</v>
      </c>
      <c r="AA66" s="7">
        <v>0</v>
      </c>
      <c r="AB66" s="1" t="s">
        <v>79</v>
      </c>
      <c r="AC66" s="1">
        <v>0.7142857142857143</v>
      </c>
      <c r="AD66" s="3">
        <v>1</v>
      </c>
      <c r="AE66" s="1">
        <v>1</v>
      </c>
      <c r="AF66" s="1" t="s">
        <v>79</v>
      </c>
      <c r="AG66" s="1" t="s">
        <v>79</v>
      </c>
      <c r="AH66" s="4"/>
      <c r="AI66" s="1">
        <v>1.5</v>
      </c>
      <c r="AJ66" s="1"/>
      <c r="AK66" s="1"/>
      <c r="AL66" s="1">
        <v>1</v>
      </c>
      <c r="AM66" s="1">
        <v>2.5</v>
      </c>
      <c r="AN66" s="1"/>
      <c r="AO66" s="1"/>
      <c r="AP66" s="1" t="s">
        <v>79</v>
      </c>
      <c r="AQ66" s="1" t="s">
        <v>79</v>
      </c>
      <c r="AR66" s="2"/>
    </row>
    <row r="67" spans="2:44" ht="18" customHeight="1">
      <c r="B67" s="17"/>
      <c r="C67" s="1" t="s">
        <v>1</v>
      </c>
      <c r="D67" s="1" t="s">
        <v>1</v>
      </c>
      <c r="E67" s="1">
        <v>1</v>
      </c>
      <c r="F67" s="1">
        <v>1</v>
      </c>
      <c r="G67" s="1">
        <v>2</v>
      </c>
      <c r="H67" s="1">
        <v>2</v>
      </c>
      <c r="I67" s="1">
        <v>1</v>
      </c>
      <c r="J67" s="1">
        <v>3</v>
      </c>
      <c r="K67" s="8" t="str">
        <f>CustomFormatWbsIdx(B67,E67,F67,G67,H67,I67,J67)</f>
        <v>001.001.002.002.001.003</v>
      </c>
      <c r="L67" s="8">
        <v>1</v>
      </c>
      <c r="M67" s="8">
        <f>CustomFuncGetLevel(E67,F67,G67,H67,I67)</f>
        <v>5</v>
      </c>
      <c r="N67" s="8" t="b">
        <f>AND(J67&lt;&gt;"",ISNUMBER(J67))</f>
        <v>1</v>
      </c>
      <c r="O67" s="8" t="b">
        <f>NOT(OR(AB67="削除",AB67="移管済",AB67="棚上げ",AB67="却下"))</f>
        <v>1</v>
      </c>
      <c r="P67" s="8" t="b">
        <v>1</v>
      </c>
      <c r="Q67" s="8" t="b">
        <v>0</v>
      </c>
      <c r="R67" s="8" t="str">
        <f>CustomFormatWbsId(B67,E67,F67,G67,H67,I67,J67)</f>
        <v>1.1.2.2.1.T3</v>
      </c>
      <c r="S67" s="2"/>
      <c r="T67" s="2"/>
      <c r="U67" s="2"/>
      <c r="V67" s="2"/>
      <c r="W67" s="2"/>
      <c r="X67" s="2"/>
      <c r="Y67" s="2"/>
      <c r="Z67" s="7">
        <v>1</v>
      </c>
      <c r="AA67" s="7">
        <v>0</v>
      </c>
      <c r="AB67" s="1" t="s">
        <v>79</v>
      </c>
      <c r="AC67" s="1">
        <v>0.2857142857142857</v>
      </c>
      <c r="AD67" s="3">
        <v>0.89999997615814209</v>
      </c>
      <c r="AE67" s="1">
        <v>3</v>
      </c>
      <c r="AF67" s="1" t="s">
        <v>79</v>
      </c>
      <c r="AG67" s="1" t="s">
        <v>79</v>
      </c>
      <c r="AH67" s="4"/>
      <c r="AI67" s="1">
        <v>2</v>
      </c>
      <c r="AJ67" s="1"/>
      <c r="AK67" s="1"/>
      <c r="AL67" s="1">
        <v>2.5</v>
      </c>
      <c r="AM67" s="1">
        <v>1</v>
      </c>
      <c r="AN67" s="1"/>
      <c r="AO67" s="1"/>
      <c r="AP67" s="1" t="s">
        <v>79</v>
      </c>
      <c r="AQ67" s="1" t="s">
        <v>79</v>
      </c>
      <c r="AR67" s="2"/>
    </row>
    <row r="68" spans="2:44" ht="18" customHeight="1">
      <c r="B68" s="17"/>
      <c r="C68" s="1" t="s">
        <v>1</v>
      </c>
      <c r="D68" s="1" t="s">
        <v>1</v>
      </c>
      <c r="E68" s="1">
        <v>1</v>
      </c>
      <c r="F68" s="1">
        <v>1</v>
      </c>
      <c r="G68" s="1">
        <v>2</v>
      </c>
      <c r="H68" s="1">
        <v>2</v>
      </c>
      <c r="I68" s="1">
        <v>2</v>
      </c>
      <c r="J68" s="1"/>
      <c r="K68" s="8" t="str">
        <f>CustomFormatWbsIdx(B68,E68,F68,G68,H68,I68,J68)</f>
        <v>001.001.002.002.002.---</v>
      </c>
      <c r="L68" s="8">
        <v>1</v>
      </c>
      <c r="M68" s="8">
        <f>CustomFuncGetLevel(E68,F68,G68,H68,I68)</f>
        <v>5</v>
      </c>
      <c r="N68" s="8" t="b">
        <f>AND(J68&lt;&gt;"",ISNUMBER(J68))</f>
        <v>0</v>
      </c>
      <c r="O68" s="8" t="b">
        <f>NOT(OR(AB68="削除",AB68="移管済",AB68="棚上げ",AB68="却下"))</f>
        <v>1</v>
      </c>
      <c r="P68" s="8" t="b">
        <v>1</v>
      </c>
      <c r="Q68" s="8" t="b">
        <v>1</v>
      </c>
      <c r="R68" s="8" t="str">
        <f>CustomFormatWbsId(B68,E68,F68,G68,H68,I68,J68)</f>
        <v>1.1.2.2.2</v>
      </c>
      <c r="S68" s="2"/>
      <c r="T68" s="2"/>
      <c r="U68" s="2"/>
      <c r="V68" s="2"/>
      <c r="W68" s="2"/>
      <c r="X68" s="2"/>
      <c r="Y68" s="2"/>
      <c r="Z68" s="7">
        <v>3</v>
      </c>
      <c r="AA68" s="7">
        <v>0</v>
      </c>
      <c r="AB68" s="1" t="s">
        <v>79</v>
      </c>
      <c r="AC68" s="1">
        <v>0.57777777777777783</v>
      </c>
      <c r="AD68" s="3">
        <v>0.5</v>
      </c>
      <c r="AE68" s="1">
        <v>1</v>
      </c>
      <c r="AF68" s="1" t="s">
        <v>79</v>
      </c>
      <c r="AG68" s="1" t="s">
        <v>79</v>
      </c>
      <c r="AH68" s="4"/>
      <c r="AI68" s="1">
        <v>5.5</v>
      </c>
      <c r="AJ68" s="1"/>
      <c r="AK68" s="1"/>
      <c r="AL68" s="1">
        <v>3</v>
      </c>
      <c r="AM68" s="1">
        <v>4</v>
      </c>
      <c r="AN68" s="1"/>
      <c r="AO68" s="1"/>
      <c r="AP68" s="1" t="s">
        <v>79</v>
      </c>
      <c r="AQ68" s="1" t="s">
        <v>79</v>
      </c>
      <c r="AR68" s="2"/>
    </row>
    <row r="69" spans="2:44" ht="18" customHeight="1">
      <c r="B69" s="17"/>
      <c r="C69" s="1" t="s">
        <v>1</v>
      </c>
      <c r="D69" s="1" t="s">
        <v>1</v>
      </c>
      <c r="E69" s="1">
        <v>1</v>
      </c>
      <c r="F69" s="1">
        <v>1</v>
      </c>
      <c r="G69" s="1">
        <v>2</v>
      </c>
      <c r="H69" s="1">
        <v>2</v>
      </c>
      <c r="I69" s="1">
        <v>2</v>
      </c>
      <c r="J69" s="1">
        <v>1</v>
      </c>
      <c r="K69" s="8" t="str">
        <f>CustomFormatWbsIdx(B69,E69,F69,G69,H69,I69,J69)</f>
        <v>001.001.002.002.002.001</v>
      </c>
      <c r="L69" s="8">
        <v>1</v>
      </c>
      <c r="M69" s="8">
        <f>CustomFuncGetLevel(E69,F69,G69,H69,I69)</f>
        <v>5</v>
      </c>
      <c r="N69" s="8" t="b">
        <f>AND(J69&lt;&gt;"",ISNUMBER(J69))</f>
        <v>1</v>
      </c>
      <c r="O69" s="8" t="b">
        <f>NOT(OR(AB69="削除",AB69="移管済",AB69="棚上げ",AB69="却下"))</f>
        <v>1</v>
      </c>
      <c r="P69" s="8" t="b">
        <v>1</v>
      </c>
      <c r="Q69" s="8" t="b">
        <v>0</v>
      </c>
      <c r="R69" s="8" t="str">
        <f>CustomFormatWbsId(B69,E69,F69,G69,H69,I69,J69)</f>
        <v>1.1.2.2.2.T1</v>
      </c>
      <c r="S69" s="2"/>
      <c r="T69" s="2"/>
      <c r="U69" s="2"/>
      <c r="V69" s="2"/>
      <c r="W69" s="2"/>
      <c r="X69" s="2" t="s">
        <v>71</v>
      </c>
      <c r="Y69" s="2"/>
      <c r="Z69" s="7">
        <v>1</v>
      </c>
      <c r="AA69" s="7">
        <v>0</v>
      </c>
      <c r="AB69" s="1" t="s">
        <v>79</v>
      </c>
      <c r="AC69" s="1">
        <v>0.66666666666666663</v>
      </c>
      <c r="AD69" s="3">
        <v>0.5</v>
      </c>
      <c r="AE69" s="1">
        <v>2</v>
      </c>
      <c r="AF69" s="1" t="s">
        <v>79</v>
      </c>
      <c r="AG69" s="1" t="s">
        <v>79</v>
      </c>
      <c r="AH69" s="4"/>
      <c r="AI69" s="1">
        <v>2</v>
      </c>
      <c r="AJ69" s="1"/>
      <c r="AK69" s="1"/>
      <c r="AL69" s="1">
        <v>0.5</v>
      </c>
      <c r="AM69" s="1">
        <v>1</v>
      </c>
      <c r="AN69" s="1"/>
      <c r="AO69" s="1"/>
      <c r="AP69" s="1" t="s">
        <v>79</v>
      </c>
      <c r="AQ69" s="1" t="s">
        <v>79</v>
      </c>
      <c r="AR69" s="2"/>
    </row>
    <row r="70" spans="2:44" ht="18" customHeight="1">
      <c r="B70" s="17"/>
      <c r="C70" s="1" t="s">
        <v>1</v>
      </c>
      <c r="D70" s="1" t="s">
        <v>1</v>
      </c>
      <c r="E70" s="1">
        <v>1</v>
      </c>
      <c r="F70" s="1">
        <v>1</v>
      </c>
      <c r="G70" s="1">
        <v>2</v>
      </c>
      <c r="H70" s="1">
        <v>2</v>
      </c>
      <c r="I70" s="1">
        <v>2</v>
      </c>
      <c r="J70" s="1">
        <v>2</v>
      </c>
      <c r="K70" s="8" t="str">
        <f>CustomFormatWbsIdx(B70,E70,F70,G70,H70,I70,J70)</f>
        <v>001.001.002.002.002.002</v>
      </c>
      <c r="L70" s="8">
        <v>1</v>
      </c>
      <c r="M70" s="8">
        <f>CustomFuncGetLevel(E70,F70,G70,H70,I70)</f>
        <v>5</v>
      </c>
      <c r="N70" s="8" t="b">
        <f>AND(J70&lt;&gt;"",ISNUMBER(J70))</f>
        <v>1</v>
      </c>
      <c r="O70" s="8" t="b">
        <f>NOT(OR(AB70="削除",AB70="移管済",AB70="棚上げ",AB70="却下"))</f>
        <v>1</v>
      </c>
      <c r="P70" s="8" t="b">
        <v>1</v>
      </c>
      <c r="Q70" s="8" t="b">
        <v>0</v>
      </c>
      <c r="R70" s="8" t="str">
        <f>CustomFormatWbsId(B70,E70,F70,G70,H70,I70,J70)</f>
        <v>1.1.2.2.2.T2</v>
      </c>
      <c r="S70" s="2"/>
      <c r="T70" s="2"/>
      <c r="U70" s="2"/>
      <c r="V70" s="2"/>
      <c r="W70" s="2"/>
      <c r="X70" s="2" t="s">
        <v>72</v>
      </c>
      <c r="Y70" s="2"/>
      <c r="Z70" s="7">
        <v>1</v>
      </c>
      <c r="AA70" s="7">
        <v>0</v>
      </c>
      <c r="AB70" s="1" t="s">
        <v>79</v>
      </c>
      <c r="AC70" s="1">
        <v>0.4</v>
      </c>
      <c r="AD70" s="3">
        <v>0.5</v>
      </c>
      <c r="AE70" s="1">
        <v>1</v>
      </c>
      <c r="AF70" s="1" t="s">
        <v>79</v>
      </c>
      <c r="AG70" s="1" t="s">
        <v>79</v>
      </c>
      <c r="AH70" s="4"/>
      <c r="AI70" s="1">
        <v>2</v>
      </c>
      <c r="AJ70" s="1"/>
      <c r="AK70" s="1"/>
      <c r="AL70" s="1">
        <v>1.5</v>
      </c>
      <c r="AM70" s="1">
        <v>1</v>
      </c>
      <c r="AN70" s="1"/>
      <c r="AO70" s="1"/>
      <c r="AP70" s="1" t="s">
        <v>79</v>
      </c>
      <c r="AQ70" s="1" t="s">
        <v>79</v>
      </c>
      <c r="AR70" s="2"/>
    </row>
    <row r="71" spans="2:44" ht="18" customHeight="1">
      <c r="B71" s="17"/>
      <c r="C71" s="1" t="s">
        <v>1</v>
      </c>
      <c r="D71" s="1" t="s">
        <v>1</v>
      </c>
      <c r="E71" s="1">
        <v>1</v>
      </c>
      <c r="F71" s="1">
        <v>1</v>
      </c>
      <c r="G71" s="1">
        <v>2</v>
      </c>
      <c r="H71" s="1">
        <v>2</v>
      </c>
      <c r="I71" s="1">
        <v>2</v>
      </c>
      <c r="J71" s="1">
        <v>3</v>
      </c>
      <c r="K71" s="8" t="str">
        <f>CustomFormatWbsIdx(B71,E71,F71,G71,H71,I71,J71)</f>
        <v>001.001.002.002.002.003</v>
      </c>
      <c r="L71" s="8">
        <v>1</v>
      </c>
      <c r="M71" s="8">
        <f>CustomFuncGetLevel(E71,F71,G71,H71,I71)</f>
        <v>5</v>
      </c>
      <c r="N71" s="8" t="b">
        <f>AND(J71&lt;&gt;"",ISNUMBER(J71))</f>
        <v>1</v>
      </c>
      <c r="O71" s="8" t="b">
        <f>NOT(OR(AB71="削除",AB71="移管済",AB71="棚上げ",AB71="却下"))</f>
        <v>1</v>
      </c>
      <c r="P71" s="8" t="b">
        <v>1</v>
      </c>
      <c r="Q71" s="8" t="b">
        <v>0</v>
      </c>
      <c r="R71" s="8" t="str">
        <f>CustomFormatWbsId(B71,E71,F71,G71,H71,I71,J71)</f>
        <v>1.1.2.2.2.T3</v>
      </c>
      <c r="S71" s="2"/>
      <c r="T71" s="2"/>
      <c r="U71" s="2"/>
      <c r="V71" s="2"/>
      <c r="W71" s="2"/>
      <c r="X71" s="2"/>
      <c r="Y71" s="2"/>
      <c r="Z71" s="7">
        <v>1</v>
      </c>
      <c r="AA71" s="7">
        <v>0</v>
      </c>
      <c r="AB71" s="1" t="s">
        <v>79</v>
      </c>
      <c r="AC71" s="1">
        <v>0.66666666666666663</v>
      </c>
      <c r="AD71" s="3">
        <v>0.5</v>
      </c>
      <c r="AE71" s="1">
        <v>1</v>
      </c>
      <c r="AF71" s="1" t="s">
        <v>79</v>
      </c>
      <c r="AG71" s="1" t="s">
        <v>79</v>
      </c>
      <c r="AH71" s="4"/>
      <c r="AI71" s="1">
        <v>1.5</v>
      </c>
      <c r="AJ71" s="1"/>
      <c r="AK71" s="1"/>
      <c r="AL71" s="1">
        <v>1</v>
      </c>
      <c r="AM71" s="1">
        <v>2</v>
      </c>
      <c r="AN71" s="1"/>
      <c r="AO71" s="1"/>
      <c r="AP71" s="1" t="s">
        <v>79</v>
      </c>
      <c r="AQ71" s="1" t="s">
        <v>79</v>
      </c>
      <c r="AR71" s="2"/>
    </row>
    <row r="72" spans="2:44" ht="18" customHeight="1">
      <c r="B72" s="17"/>
      <c r="C72" s="1" t="s">
        <v>1</v>
      </c>
      <c r="D72" s="1" t="s">
        <v>1</v>
      </c>
      <c r="E72" s="1">
        <v>1</v>
      </c>
      <c r="F72" s="1">
        <v>2</v>
      </c>
      <c r="G72" s="1"/>
      <c r="H72" s="1"/>
      <c r="I72" s="1"/>
      <c r="J72" s="1"/>
      <c r="K72" s="8" t="str">
        <f>CustomFormatWbsIdx(B72,E72,F72,G72,H72,I72,J72)</f>
        <v>001.002.---.---.---.---</v>
      </c>
      <c r="L72" s="8">
        <v>1</v>
      </c>
      <c r="M72" s="8">
        <f>CustomFuncGetLevel(E72,F72,G72,H72,I72)</f>
        <v>2</v>
      </c>
      <c r="N72" s="8" t="b">
        <f>AND(J72&lt;&gt;"",ISNUMBER(J72))</f>
        <v>0</v>
      </c>
      <c r="O72" s="8" t="b">
        <f>NOT(OR(AB72="削除",AB72="移管済",AB72="棚上げ",AB72="却下"))</f>
        <v>1</v>
      </c>
      <c r="P72" s="8" t="b">
        <v>1</v>
      </c>
      <c r="Q72" s="8" t="b">
        <v>1</v>
      </c>
      <c r="R72" s="8" t="str">
        <f>CustomFormatWbsId(B72,E72,F72,G72,H72,I72,J72)</f>
        <v>1.2</v>
      </c>
      <c r="S72" s="2"/>
      <c r="T72" s="2"/>
      <c r="U72" s="2"/>
      <c r="V72" s="2"/>
      <c r="W72" s="2"/>
      <c r="X72" s="2"/>
      <c r="Y72" s="2"/>
      <c r="Z72" s="7">
        <v>42</v>
      </c>
      <c r="AA72" s="7">
        <v>4</v>
      </c>
      <c r="AB72" s="1" t="s">
        <v>79</v>
      </c>
      <c r="AC72" s="1">
        <v>0.46614252645502646</v>
      </c>
      <c r="AD72" s="3">
        <v>0.57756785512223308</v>
      </c>
      <c r="AE72" s="1">
        <v>1</v>
      </c>
      <c r="AF72" s="1" t="s">
        <v>79</v>
      </c>
      <c r="AG72" s="1" t="s">
        <v>79</v>
      </c>
      <c r="AH72" s="4"/>
      <c r="AI72" s="1">
        <v>53</v>
      </c>
      <c r="AJ72" s="1"/>
      <c r="AK72" s="1"/>
      <c r="AL72" s="1">
        <v>46</v>
      </c>
      <c r="AM72" s="1">
        <v>59</v>
      </c>
      <c r="AN72" s="1"/>
      <c r="AO72" s="1"/>
      <c r="AP72" s="1" t="s">
        <v>79</v>
      </c>
      <c r="AQ72" s="1" t="s">
        <v>79</v>
      </c>
      <c r="AR72" s="2"/>
    </row>
    <row r="73" spans="2:44" ht="18" customHeight="1">
      <c r="B73" s="17"/>
      <c r="C73" s="1" t="s">
        <v>1</v>
      </c>
      <c r="D73" s="1" t="s">
        <v>1</v>
      </c>
      <c r="E73" s="1">
        <v>1</v>
      </c>
      <c r="F73" s="1">
        <v>2</v>
      </c>
      <c r="G73" s="1"/>
      <c r="H73" s="1"/>
      <c r="I73" s="1"/>
      <c r="J73" s="1">
        <v>1</v>
      </c>
      <c r="K73" s="8" t="str">
        <f>CustomFormatWbsIdx(B73,E73,F73,G73,H73,I73,J73)</f>
        <v>001.002.---.---.---.001</v>
      </c>
      <c r="L73" s="8">
        <v>1</v>
      </c>
      <c r="M73" s="8">
        <f>CustomFuncGetLevel(E73,F73,G73,H73,I73)</f>
        <v>2</v>
      </c>
      <c r="N73" s="8" t="b">
        <f>AND(J73&lt;&gt;"",ISNUMBER(J73))</f>
        <v>1</v>
      </c>
      <c r="O73" s="8" t="b">
        <f>NOT(OR(AB73="削除",AB73="移管済",AB73="棚上げ",AB73="却下"))</f>
        <v>1</v>
      </c>
      <c r="P73" s="8" t="b">
        <v>1</v>
      </c>
      <c r="Q73" s="8" t="b">
        <v>0</v>
      </c>
      <c r="R73" s="8" t="str">
        <f>CustomFormatWbsId(B73,E73,F73,G73,H73,I73,J73)</f>
        <v>1.2.T1</v>
      </c>
      <c r="S73" s="2"/>
      <c r="T73" s="2"/>
      <c r="U73" s="2"/>
      <c r="V73" s="2"/>
      <c r="W73" s="2"/>
      <c r="X73" s="2" t="s">
        <v>59</v>
      </c>
      <c r="Y73" s="2"/>
      <c r="Z73" s="7">
        <v>1</v>
      </c>
      <c r="AA73" s="7">
        <v>0</v>
      </c>
      <c r="AB73" s="1" t="s">
        <v>80</v>
      </c>
      <c r="AC73" s="1">
        <v>0.5</v>
      </c>
      <c r="AD73" s="3">
        <v>0.89999997615814209</v>
      </c>
      <c r="AE73" s="1">
        <v>1</v>
      </c>
      <c r="AF73" s="1" t="s">
        <v>79</v>
      </c>
      <c r="AG73" s="1" t="s">
        <v>79</v>
      </c>
      <c r="AH73" s="4"/>
      <c r="AI73" s="1">
        <v>1</v>
      </c>
      <c r="AJ73" s="1"/>
      <c r="AK73" s="1"/>
      <c r="AL73" s="1">
        <v>0.5</v>
      </c>
      <c r="AM73" s="1">
        <v>0.5</v>
      </c>
      <c r="AN73" s="1"/>
      <c r="AO73" s="1"/>
      <c r="AP73" s="1" t="s">
        <v>79</v>
      </c>
      <c r="AQ73" s="1" t="s">
        <v>79</v>
      </c>
      <c r="AR73" s="2"/>
    </row>
    <row r="74" spans="2:44" ht="18" customHeight="1">
      <c r="B74" s="17"/>
      <c r="C74" s="1" t="s">
        <v>1</v>
      </c>
      <c r="D74" s="1" t="s">
        <v>1</v>
      </c>
      <c r="E74" s="1">
        <v>1</v>
      </c>
      <c r="F74" s="1">
        <v>2</v>
      </c>
      <c r="G74" s="1"/>
      <c r="H74" s="1"/>
      <c r="I74" s="1"/>
      <c r="J74" s="1">
        <v>2</v>
      </c>
      <c r="K74" s="8" t="str">
        <f>CustomFormatWbsIdx(B74,E74,F74,G74,H74,I74,J74)</f>
        <v>001.002.---.---.---.002</v>
      </c>
      <c r="L74" s="8">
        <v>1</v>
      </c>
      <c r="M74" s="8">
        <f>CustomFuncGetLevel(E74,F74,G74,H74,I74)</f>
        <v>2</v>
      </c>
      <c r="N74" s="8" t="b">
        <f>AND(J74&lt;&gt;"",ISNUMBER(J74))</f>
        <v>1</v>
      </c>
      <c r="O74" s="8" t="b">
        <f>NOT(OR(AB74="削除",AB74="移管済",AB74="棚上げ",AB74="却下"))</f>
        <v>0</v>
      </c>
      <c r="P74" s="8" t="b">
        <v>1</v>
      </c>
      <c r="Q74" s="8" t="b">
        <v>0</v>
      </c>
      <c r="R74" s="8" t="str">
        <f>CustomFormatWbsId(B74,E74,F74,G74,H74,I74,J74)</f>
        <v>1.2.T2</v>
      </c>
      <c r="S74" s="2"/>
      <c r="T74" s="2"/>
      <c r="U74" s="2"/>
      <c r="V74" s="2"/>
      <c r="W74" s="2"/>
      <c r="X74" s="2" t="s">
        <v>60</v>
      </c>
      <c r="Y74" s="2"/>
      <c r="Z74" s="7">
        <v>1</v>
      </c>
      <c r="AA74" s="7">
        <v>0</v>
      </c>
      <c r="AB74" s="1" t="s">
        <v>81</v>
      </c>
      <c r="AC74" s="1">
        <v>0.75</v>
      </c>
      <c r="AD74" s="3">
        <v>0.10000000149011612</v>
      </c>
      <c r="AE74" s="1">
        <v>1</v>
      </c>
      <c r="AF74" s="1" t="s">
        <v>79</v>
      </c>
      <c r="AG74" s="1" t="s">
        <v>79</v>
      </c>
      <c r="AH74" s="4"/>
      <c r="AI74" s="1">
        <v>1.5</v>
      </c>
      <c r="AJ74" s="1"/>
      <c r="AK74" s="1"/>
      <c r="AL74" s="1">
        <v>0.5</v>
      </c>
      <c r="AM74" s="1">
        <v>1.5</v>
      </c>
      <c r="AN74" s="1"/>
      <c r="AO74" s="1"/>
      <c r="AP74" s="1" t="s">
        <v>79</v>
      </c>
      <c r="AQ74" s="1" t="s">
        <v>79</v>
      </c>
      <c r="AR74" s="2"/>
    </row>
    <row r="75" spans="2:44" ht="18" customHeight="1">
      <c r="B75" s="17"/>
      <c r="C75" s="1" t="s">
        <v>1</v>
      </c>
      <c r="D75" s="1" t="s">
        <v>1</v>
      </c>
      <c r="E75" s="1">
        <v>1</v>
      </c>
      <c r="F75" s="1">
        <v>2</v>
      </c>
      <c r="G75" s="1"/>
      <c r="H75" s="1"/>
      <c r="I75" s="1"/>
      <c r="J75" s="1">
        <v>3</v>
      </c>
      <c r="K75" s="8" t="str">
        <f>CustomFormatWbsIdx(B75,E75,F75,G75,H75,I75,J75)</f>
        <v>001.002.---.---.---.003</v>
      </c>
      <c r="L75" s="8">
        <v>1</v>
      </c>
      <c r="M75" s="8">
        <f>CustomFuncGetLevel(E75,F75,G75,H75,I75)</f>
        <v>2</v>
      </c>
      <c r="N75" s="8" t="b">
        <f>AND(J75&lt;&gt;"",ISNUMBER(J75))</f>
        <v>1</v>
      </c>
      <c r="O75" s="8" t="b">
        <f>NOT(OR(AB75="削除",AB75="移管済",AB75="棚上げ",AB75="却下"))</f>
        <v>1</v>
      </c>
      <c r="P75" s="8" t="b">
        <v>1</v>
      </c>
      <c r="Q75" s="8" t="b">
        <v>0</v>
      </c>
      <c r="R75" s="8" t="str">
        <f>CustomFormatWbsId(B75,E75,F75,G75,H75,I75,J75)</f>
        <v>1.2.T3</v>
      </c>
      <c r="S75" s="2"/>
      <c r="T75" s="2"/>
      <c r="U75" s="2"/>
      <c r="V75" s="2"/>
      <c r="W75" s="2"/>
      <c r="X75" s="2" t="s">
        <v>61</v>
      </c>
      <c r="Y75" s="2"/>
      <c r="Z75" s="7">
        <v>1</v>
      </c>
      <c r="AA75" s="7">
        <v>0</v>
      </c>
      <c r="AB75" s="1" t="s">
        <v>79</v>
      </c>
      <c r="AC75" s="1">
        <v>0.33333333333333331</v>
      </c>
      <c r="AD75" s="3">
        <v>0.30000001192092896</v>
      </c>
      <c r="AE75" s="1">
        <v>1</v>
      </c>
      <c r="AF75" s="1" t="s">
        <v>79</v>
      </c>
      <c r="AG75" s="1" t="s">
        <v>79</v>
      </c>
      <c r="AH75" s="4"/>
      <c r="AI75" s="1">
        <v>2.5</v>
      </c>
      <c r="AJ75" s="1"/>
      <c r="AK75" s="1"/>
      <c r="AL75" s="1">
        <v>1</v>
      </c>
      <c r="AM75" s="1">
        <v>0.5</v>
      </c>
      <c r="AN75" s="1"/>
      <c r="AO75" s="1"/>
      <c r="AP75" s="1" t="s">
        <v>79</v>
      </c>
      <c r="AQ75" s="1" t="s">
        <v>79</v>
      </c>
      <c r="AR75" s="2"/>
    </row>
    <row r="76" spans="2:44" ht="18" customHeight="1">
      <c r="B76" s="17"/>
      <c r="C76" s="1" t="s">
        <v>1</v>
      </c>
      <c r="D76" s="1" t="s">
        <v>1</v>
      </c>
      <c r="E76" s="1">
        <v>1</v>
      </c>
      <c r="F76" s="1">
        <v>2</v>
      </c>
      <c r="G76" s="1">
        <v>1</v>
      </c>
      <c r="H76" s="1"/>
      <c r="I76" s="1"/>
      <c r="J76" s="1"/>
      <c r="K76" s="8" t="str">
        <f>CustomFormatWbsIdx(B76,E76,F76,G76,H76,I76,J76)</f>
        <v>001.002.001.---.---.---</v>
      </c>
      <c r="L76" s="8">
        <v>1</v>
      </c>
      <c r="M76" s="8">
        <f>CustomFuncGetLevel(E76,F76,G76,H76,I76)</f>
        <v>3</v>
      </c>
      <c r="N76" s="8" t="b">
        <f>AND(J76&lt;&gt;"",ISNUMBER(J76))</f>
        <v>0</v>
      </c>
      <c r="O76" s="8" t="b">
        <f>NOT(OR(AB76="削除",AB76="移管済",AB76="棚上げ",AB76="却下"))</f>
        <v>1</v>
      </c>
      <c r="P76" s="8" t="b">
        <v>1</v>
      </c>
      <c r="Q76" s="8" t="b">
        <v>1</v>
      </c>
      <c r="R76" s="8" t="str">
        <f>CustomFormatWbsId(B76,E76,F76,G76,H76,I76,J76)</f>
        <v>1.2.1</v>
      </c>
      <c r="S76" s="2"/>
      <c r="T76" s="2"/>
      <c r="U76" s="2" t="s">
        <v>62</v>
      </c>
      <c r="V76" s="2"/>
      <c r="W76" s="2"/>
      <c r="X76" s="2"/>
      <c r="Y76" s="2"/>
      <c r="Z76" s="7">
        <v>20</v>
      </c>
      <c r="AA76" s="7">
        <v>2</v>
      </c>
      <c r="AB76" s="1" t="s">
        <v>79</v>
      </c>
      <c r="AC76" s="1">
        <v>0.42905423280423283</v>
      </c>
      <c r="AD76" s="3">
        <v>0.52350000547245146</v>
      </c>
      <c r="AE76" s="1">
        <v>1</v>
      </c>
      <c r="AF76" s="1" t="s">
        <v>79</v>
      </c>
      <c r="AG76" s="1" t="s">
        <v>79</v>
      </c>
      <c r="AH76" s="4"/>
      <c r="AI76" s="1">
        <v>24</v>
      </c>
      <c r="AJ76" s="1"/>
      <c r="AK76" s="1"/>
      <c r="AL76" s="1">
        <v>24</v>
      </c>
      <c r="AM76" s="1">
        <v>25.5</v>
      </c>
      <c r="AN76" s="1"/>
      <c r="AO76" s="1"/>
      <c r="AP76" s="1" t="s">
        <v>79</v>
      </c>
      <c r="AQ76" s="1" t="s">
        <v>79</v>
      </c>
      <c r="AR76" s="2"/>
    </row>
    <row r="77" spans="2:44" ht="18" customHeight="1">
      <c r="B77" s="17"/>
      <c r="C77" s="1" t="s">
        <v>1</v>
      </c>
      <c r="D77" s="1" t="s">
        <v>1</v>
      </c>
      <c r="E77" s="1">
        <v>1</v>
      </c>
      <c r="F77" s="1">
        <v>2</v>
      </c>
      <c r="G77" s="1">
        <v>1</v>
      </c>
      <c r="H77" s="1"/>
      <c r="I77" s="1"/>
      <c r="J77" s="1">
        <v>1</v>
      </c>
      <c r="K77" s="8" t="str">
        <f>CustomFormatWbsIdx(B77,E77,F77,G77,H77,I77,J77)</f>
        <v>001.002.001.---.---.001</v>
      </c>
      <c r="L77" s="8">
        <v>1</v>
      </c>
      <c r="M77" s="8">
        <f>CustomFuncGetLevel(E77,F77,G77,H77,I77)</f>
        <v>3</v>
      </c>
      <c r="N77" s="8" t="b">
        <f>AND(J77&lt;&gt;"",ISNUMBER(J77))</f>
        <v>1</v>
      </c>
      <c r="O77" s="8" t="b">
        <f>NOT(OR(AB77="削除",AB77="移管済",AB77="棚上げ",AB77="却下"))</f>
        <v>0</v>
      </c>
      <c r="P77" s="8" t="b">
        <v>1</v>
      </c>
      <c r="Q77" s="8" t="b">
        <v>0</v>
      </c>
      <c r="R77" s="8" t="str">
        <f>CustomFormatWbsId(B77,E77,F77,G77,H77,I77,J77)</f>
        <v>1.2.1.T1</v>
      </c>
      <c r="S77" s="2"/>
      <c r="T77" s="2"/>
      <c r="U77" s="2"/>
      <c r="V77" s="2"/>
      <c r="W77" s="2"/>
      <c r="X77" s="2" t="s">
        <v>63</v>
      </c>
      <c r="Y77" s="2"/>
      <c r="Z77" s="7">
        <v>1</v>
      </c>
      <c r="AA77" s="7">
        <v>0</v>
      </c>
      <c r="AB77" s="1" t="s">
        <v>82</v>
      </c>
      <c r="AC77" s="1">
        <v>0</v>
      </c>
      <c r="AD77" s="3">
        <v>0.69999998807907104</v>
      </c>
      <c r="AE77" s="1">
        <v>3</v>
      </c>
      <c r="AF77" s="1" t="s">
        <v>79</v>
      </c>
      <c r="AG77" s="1" t="s">
        <v>79</v>
      </c>
      <c r="AH77" s="4"/>
      <c r="AI77" s="1">
        <v>1.5</v>
      </c>
      <c r="AJ77" s="1"/>
      <c r="AK77" s="1"/>
      <c r="AL77" s="1">
        <v>2</v>
      </c>
      <c r="AM77" s="1">
        <v>0</v>
      </c>
      <c r="AN77" s="1"/>
      <c r="AO77" s="1"/>
      <c r="AP77" s="1" t="s">
        <v>79</v>
      </c>
      <c r="AQ77" s="1" t="s">
        <v>79</v>
      </c>
      <c r="AR77" s="2"/>
    </row>
    <row r="78" spans="2:44" ht="18" customHeight="1">
      <c r="B78" s="17"/>
      <c r="C78" s="1" t="s">
        <v>1</v>
      </c>
      <c r="D78" s="1" t="s">
        <v>1</v>
      </c>
      <c r="E78" s="1">
        <v>1</v>
      </c>
      <c r="F78" s="1">
        <v>2</v>
      </c>
      <c r="G78" s="1">
        <v>1</v>
      </c>
      <c r="H78" s="1"/>
      <c r="I78" s="1"/>
      <c r="J78" s="1">
        <v>2</v>
      </c>
      <c r="K78" s="8" t="str">
        <f>CustomFormatWbsIdx(B78,E78,F78,G78,H78,I78,J78)</f>
        <v>001.002.001.---.---.002</v>
      </c>
      <c r="L78" s="8">
        <v>1</v>
      </c>
      <c r="M78" s="8">
        <f>CustomFuncGetLevel(E78,F78,G78,H78,I78)</f>
        <v>3</v>
      </c>
      <c r="N78" s="8" t="b">
        <f>AND(J78&lt;&gt;"",ISNUMBER(J78))</f>
        <v>1</v>
      </c>
      <c r="O78" s="8" t="b">
        <f>NOT(OR(AB78="削除",AB78="移管済",AB78="棚上げ",AB78="却下"))</f>
        <v>1</v>
      </c>
      <c r="P78" s="8" t="b">
        <v>1</v>
      </c>
      <c r="Q78" s="8" t="b">
        <v>0</v>
      </c>
      <c r="R78" s="8" t="str">
        <f>CustomFormatWbsId(B78,E78,F78,G78,H78,I78,J78)</f>
        <v>1.2.1.T2</v>
      </c>
      <c r="S78" s="2"/>
      <c r="T78" s="2"/>
      <c r="U78" s="2"/>
      <c r="V78" s="2"/>
      <c r="W78" s="2"/>
      <c r="X78" s="2" t="s">
        <v>64</v>
      </c>
      <c r="Y78" s="2"/>
      <c r="Z78" s="7">
        <v>1</v>
      </c>
      <c r="AA78" s="7">
        <v>0</v>
      </c>
      <c r="AB78" s="1" t="s">
        <v>83</v>
      </c>
      <c r="AC78" s="1">
        <v>0</v>
      </c>
      <c r="AD78" s="3">
        <v>0.80000001192092896</v>
      </c>
      <c r="AE78" s="1">
        <v>1</v>
      </c>
      <c r="AF78" s="1" t="s">
        <v>79</v>
      </c>
      <c r="AG78" s="1" t="s">
        <v>79</v>
      </c>
      <c r="AH78" s="4"/>
      <c r="AI78" s="1">
        <v>0.5</v>
      </c>
      <c r="AJ78" s="1"/>
      <c r="AK78" s="1"/>
      <c r="AL78" s="1">
        <v>2.5</v>
      </c>
      <c r="AM78" s="1">
        <v>0</v>
      </c>
      <c r="AN78" s="1"/>
      <c r="AO78" s="1"/>
      <c r="AP78" s="1" t="s">
        <v>79</v>
      </c>
      <c r="AQ78" s="1" t="s">
        <v>79</v>
      </c>
      <c r="AR78" s="2"/>
    </row>
    <row r="79" spans="2:44" ht="18" customHeight="1">
      <c r="B79" s="17"/>
      <c r="C79" s="1" t="s">
        <v>1</v>
      </c>
      <c r="D79" s="1" t="s">
        <v>1</v>
      </c>
      <c r="E79" s="1">
        <v>1</v>
      </c>
      <c r="F79" s="1">
        <v>2</v>
      </c>
      <c r="G79" s="1">
        <v>1</v>
      </c>
      <c r="H79" s="1"/>
      <c r="I79" s="1"/>
      <c r="J79" s="1">
        <v>3</v>
      </c>
      <c r="K79" s="8" t="str">
        <f>CustomFormatWbsIdx(B79,E79,F79,G79,H79,I79,J79)</f>
        <v>001.002.001.---.---.003</v>
      </c>
      <c r="L79" s="8">
        <v>1</v>
      </c>
      <c r="M79" s="8">
        <f>CustomFuncGetLevel(E79,F79,G79,H79,I79)</f>
        <v>3</v>
      </c>
      <c r="N79" s="8" t="b">
        <f>AND(J79&lt;&gt;"",ISNUMBER(J79))</f>
        <v>1</v>
      </c>
      <c r="O79" s="8" t="b">
        <f>NOT(OR(AB79="削除",AB79="移管済",AB79="棚上げ",AB79="却下"))</f>
        <v>1</v>
      </c>
      <c r="P79" s="8" t="b">
        <v>1</v>
      </c>
      <c r="Q79" s="8" t="b">
        <v>0</v>
      </c>
      <c r="R79" s="8" t="str">
        <f>CustomFormatWbsId(B79,E79,F79,G79,H79,I79,J79)</f>
        <v>1.2.1.T3</v>
      </c>
      <c r="S79" s="2"/>
      <c r="T79" s="2"/>
      <c r="U79" s="2"/>
      <c r="V79" s="2"/>
      <c r="W79" s="2"/>
      <c r="X79" s="2" t="s">
        <v>65</v>
      </c>
      <c r="Y79" s="2"/>
      <c r="Z79" s="7">
        <v>1</v>
      </c>
      <c r="AA79" s="7">
        <v>0</v>
      </c>
      <c r="AB79" s="1" t="s">
        <v>79</v>
      </c>
      <c r="AC79" s="1">
        <v>0.5</v>
      </c>
      <c r="AD79" s="3">
        <v>0</v>
      </c>
      <c r="AE79" s="1">
        <v>1</v>
      </c>
      <c r="AF79" s="1" t="s">
        <v>79</v>
      </c>
      <c r="AG79" s="1" t="s">
        <v>79</v>
      </c>
      <c r="AH79" s="4"/>
      <c r="AI79" s="1">
        <v>2</v>
      </c>
      <c r="AJ79" s="1"/>
      <c r="AK79" s="1"/>
      <c r="AL79" s="1">
        <v>1</v>
      </c>
      <c r="AM79" s="1">
        <v>1</v>
      </c>
      <c r="AN79" s="1"/>
      <c r="AO79" s="1"/>
      <c r="AP79" s="1" t="s">
        <v>79</v>
      </c>
      <c r="AQ79" s="1" t="s">
        <v>79</v>
      </c>
      <c r="AR79" s="2"/>
    </row>
    <row r="80" spans="2:44" ht="18" customHeight="1">
      <c r="B80" s="17"/>
      <c r="C80" s="1" t="s">
        <v>1</v>
      </c>
      <c r="D80" s="1" t="s">
        <v>1</v>
      </c>
      <c r="E80" s="1">
        <v>1</v>
      </c>
      <c r="F80" s="1">
        <v>2</v>
      </c>
      <c r="G80" s="1">
        <v>1</v>
      </c>
      <c r="H80" s="1">
        <v>1</v>
      </c>
      <c r="I80" s="1"/>
      <c r="J80" s="1"/>
      <c r="K80" s="8" t="str">
        <f>CustomFormatWbsIdx(B80,E80,F80,G80,H80,I80,J80)</f>
        <v>001.002.001.001.---.---</v>
      </c>
      <c r="L80" s="8">
        <v>1</v>
      </c>
      <c r="M80" s="8">
        <f>CustomFuncGetLevel(E80,F80,G80,H80,I80)</f>
        <v>4</v>
      </c>
      <c r="N80" s="8" t="b">
        <f>AND(J80&lt;&gt;"",ISNUMBER(J80))</f>
        <v>0</v>
      </c>
      <c r="O80" s="8" t="b">
        <f>NOT(OR(AB80="削除",AB80="移管済",AB80="棚上げ",AB80="却下"))</f>
        <v>1</v>
      </c>
      <c r="P80" s="8" t="b">
        <v>1</v>
      </c>
      <c r="Q80" s="8" t="b">
        <v>1</v>
      </c>
      <c r="R80" s="8" t="str">
        <f>CustomFormatWbsId(B80,E80,F80,G80,H80,I80,J80)</f>
        <v>1.2.1.1</v>
      </c>
      <c r="S80" s="2"/>
      <c r="T80" s="2"/>
      <c r="U80" s="2"/>
      <c r="V80" s="2" t="s">
        <v>66</v>
      </c>
      <c r="W80" s="2"/>
      <c r="X80" s="2"/>
      <c r="Y80" s="2"/>
      <c r="Z80" s="7">
        <v>9</v>
      </c>
      <c r="AA80" s="7">
        <v>1</v>
      </c>
      <c r="AB80" s="1" t="s">
        <v>79</v>
      </c>
      <c r="AC80" s="1">
        <v>0.65936507936507938</v>
      </c>
      <c r="AD80" s="3">
        <v>0.67400000631809243</v>
      </c>
      <c r="AE80" s="1">
        <v>1</v>
      </c>
      <c r="AF80" s="1" t="s">
        <v>79</v>
      </c>
      <c r="AG80" s="1" t="s">
        <v>79</v>
      </c>
      <c r="AH80" s="4"/>
      <c r="AI80" s="1">
        <v>11.5</v>
      </c>
      <c r="AJ80" s="1"/>
      <c r="AK80" s="1"/>
      <c r="AL80" s="1">
        <v>7.5</v>
      </c>
      <c r="AM80" s="1">
        <v>12.5</v>
      </c>
      <c r="AN80" s="1"/>
      <c r="AO80" s="1"/>
      <c r="AP80" s="1" t="s">
        <v>79</v>
      </c>
      <c r="AQ80" s="1" t="s">
        <v>79</v>
      </c>
      <c r="AR80" s="2"/>
    </row>
    <row r="81" spans="2:44" ht="18" customHeight="1">
      <c r="B81" s="17"/>
      <c r="C81" s="1" t="s">
        <v>1</v>
      </c>
      <c r="D81" s="1" t="s">
        <v>1</v>
      </c>
      <c r="E81" s="1">
        <v>1</v>
      </c>
      <c r="F81" s="1">
        <v>2</v>
      </c>
      <c r="G81" s="1">
        <v>1</v>
      </c>
      <c r="H81" s="1">
        <v>1</v>
      </c>
      <c r="I81" s="1"/>
      <c r="J81" s="1">
        <v>1</v>
      </c>
      <c r="K81" s="8" t="str">
        <f>CustomFormatWbsIdx(B81,E81,F81,G81,H81,I81,J81)</f>
        <v>001.002.001.001.---.001</v>
      </c>
      <c r="L81" s="8">
        <v>1</v>
      </c>
      <c r="M81" s="8">
        <f>CustomFuncGetLevel(E81,F81,G81,H81,I81)</f>
        <v>4</v>
      </c>
      <c r="N81" s="8" t="b">
        <f>AND(J81&lt;&gt;"",ISNUMBER(J81))</f>
        <v>1</v>
      </c>
      <c r="O81" s="8" t="b">
        <f>NOT(OR(AB81="削除",AB81="移管済",AB81="棚上げ",AB81="却下"))</f>
        <v>1</v>
      </c>
      <c r="P81" s="8" t="b">
        <v>1</v>
      </c>
      <c r="Q81" s="8" t="b">
        <v>0</v>
      </c>
      <c r="R81" s="8" t="str">
        <f>CustomFormatWbsId(B81,E81,F81,G81,H81,I81,J81)</f>
        <v>1.2.1.1.T1</v>
      </c>
      <c r="S81" s="2"/>
      <c r="T81" s="2"/>
      <c r="U81" s="2"/>
      <c r="V81" s="2"/>
      <c r="W81" s="2"/>
      <c r="X81" s="2" t="s">
        <v>67</v>
      </c>
      <c r="Y81" s="2"/>
      <c r="Z81" s="7">
        <v>1</v>
      </c>
      <c r="AA81" s="7">
        <v>1</v>
      </c>
      <c r="AB81" s="1" t="s">
        <v>32</v>
      </c>
      <c r="AC81" s="1">
        <v>1</v>
      </c>
      <c r="AD81" s="3">
        <v>1</v>
      </c>
      <c r="AE81" s="1">
        <v>1</v>
      </c>
      <c r="AF81" s="1" t="s">
        <v>79</v>
      </c>
      <c r="AG81" s="1" t="s">
        <v>79</v>
      </c>
      <c r="AH81" s="4"/>
      <c r="AI81" s="1">
        <v>0.5</v>
      </c>
      <c r="AJ81" s="1"/>
      <c r="AK81" s="1"/>
      <c r="AL81" s="1">
        <v>0</v>
      </c>
      <c r="AM81" s="1">
        <v>2</v>
      </c>
      <c r="AN81" s="1"/>
      <c r="AO81" s="1"/>
      <c r="AP81" s="1" t="s">
        <v>79</v>
      </c>
      <c r="AQ81" s="1" t="s">
        <v>79</v>
      </c>
      <c r="AR81" s="2"/>
    </row>
    <row r="82" spans="2:44" ht="18" customHeight="1">
      <c r="B82" s="17"/>
      <c r="C82" s="1" t="s">
        <v>1</v>
      </c>
      <c r="D82" s="1" t="s">
        <v>1</v>
      </c>
      <c r="E82" s="1">
        <v>1</v>
      </c>
      <c r="F82" s="1">
        <v>2</v>
      </c>
      <c r="G82" s="1">
        <v>1</v>
      </c>
      <c r="H82" s="1">
        <v>1</v>
      </c>
      <c r="I82" s="1"/>
      <c r="J82" s="1">
        <v>2</v>
      </c>
      <c r="K82" s="8" t="str">
        <f>CustomFormatWbsIdx(B82,E82,F82,G82,H82,I82,J82)</f>
        <v>001.002.001.001.---.002</v>
      </c>
      <c r="L82" s="8">
        <v>1</v>
      </c>
      <c r="M82" s="8">
        <f>CustomFuncGetLevel(E82,F82,G82,H82,I82)</f>
        <v>4</v>
      </c>
      <c r="N82" s="8" t="b">
        <f>AND(J82&lt;&gt;"",ISNUMBER(J82))</f>
        <v>1</v>
      </c>
      <c r="O82" s="8" t="b">
        <f>NOT(OR(AB82="削除",AB82="移管済",AB82="棚上げ",AB82="却下"))</f>
        <v>1</v>
      </c>
      <c r="P82" s="8" t="b">
        <v>1</v>
      </c>
      <c r="Q82" s="8" t="b">
        <v>0</v>
      </c>
      <c r="R82" s="8" t="str">
        <f>CustomFormatWbsId(B82,E82,F82,G82,H82,I82,J82)</f>
        <v>1.2.1.1.T2</v>
      </c>
      <c r="S82" s="2"/>
      <c r="T82" s="2"/>
      <c r="U82" s="2"/>
      <c r="V82" s="2"/>
      <c r="W82" s="2"/>
      <c r="X82" s="2" t="s">
        <v>68</v>
      </c>
      <c r="Y82" s="2"/>
      <c r="Z82" s="7">
        <v>1</v>
      </c>
      <c r="AA82" s="7">
        <v>0</v>
      </c>
      <c r="AB82" s="1" t="s">
        <v>84</v>
      </c>
      <c r="AC82" s="1">
        <v>0.66666666666666663</v>
      </c>
      <c r="AD82" s="3">
        <v>0.5</v>
      </c>
      <c r="AE82" s="1">
        <v>1</v>
      </c>
      <c r="AF82" s="1" t="s">
        <v>79</v>
      </c>
      <c r="AG82" s="1" t="s">
        <v>79</v>
      </c>
      <c r="AH82" s="4"/>
      <c r="AI82" s="1">
        <v>1.5</v>
      </c>
      <c r="AJ82" s="1"/>
      <c r="AK82" s="1"/>
      <c r="AL82" s="1">
        <v>0.5</v>
      </c>
      <c r="AM82" s="1">
        <v>1</v>
      </c>
      <c r="AN82" s="1"/>
      <c r="AO82" s="1"/>
      <c r="AP82" s="1" t="s">
        <v>79</v>
      </c>
      <c r="AQ82" s="1" t="s">
        <v>79</v>
      </c>
      <c r="AR82" s="2"/>
    </row>
    <row r="83" spans="2:44" ht="18" customHeight="1">
      <c r="B83" s="17"/>
      <c r="C83" s="1" t="s">
        <v>1</v>
      </c>
      <c r="D83" s="1" t="s">
        <v>1</v>
      </c>
      <c r="E83" s="1">
        <v>1</v>
      </c>
      <c r="F83" s="1">
        <v>2</v>
      </c>
      <c r="G83" s="1">
        <v>1</v>
      </c>
      <c r="H83" s="1">
        <v>1</v>
      </c>
      <c r="I83" s="1"/>
      <c r="J83" s="1">
        <v>3</v>
      </c>
      <c r="K83" s="8" t="str">
        <f>CustomFormatWbsIdx(B83,E83,F83,G83,H83,I83,J83)</f>
        <v>001.002.001.001.---.003</v>
      </c>
      <c r="L83" s="8">
        <v>1</v>
      </c>
      <c r="M83" s="8">
        <f>CustomFuncGetLevel(E83,F83,G83,H83,I83)</f>
        <v>4</v>
      </c>
      <c r="N83" s="8" t="b">
        <f>AND(J83&lt;&gt;"",ISNUMBER(J83))</f>
        <v>1</v>
      </c>
      <c r="O83" s="8" t="b">
        <f>NOT(OR(AB83="削除",AB83="移管済",AB83="棚上げ",AB83="却下"))</f>
        <v>1</v>
      </c>
      <c r="P83" s="8" t="b">
        <v>1</v>
      </c>
      <c r="Q83" s="8" t="b">
        <v>0</v>
      </c>
      <c r="R83" s="8" t="str">
        <f>CustomFormatWbsId(B83,E83,F83,G83,H83,I83,J83)</f>
        <v>1.2.1.1.T3</v>
      </c>
      <c r="S83" s="2"/>
      <c r="T83" s="2"/>
      <c r="U83" s="2"/>
      <c r="V83" s="2"/>
      <c r="W83" s="2"/>
      <c r="X83" s="2" t="s">
        <v>69</v>
      </c>
      <c r="Y83" s="2"/>
      <c r="Z83" s="7">
        <v>1</v>
      </c>
      <c r="AA83" s="7">
        <v>0</v>
      </c>
      <c r="AB83" s="1" t="s">
        <v>79</v>
      </c>
      <c r="AC83" s="1">
        <v>0.7142857142857143</v>
      </c>
      <c r="AD83" s="3">
        <v>0.80000001192092896</v>
      </c>
      <c r="AE83" s="1">
        <v>1</v>
      </c>
      <c r="AF83" s="1" t="s">
        <v>79</v>
      </c>
      <c r="AG83" s="1" t="s">
        <v>79</v>
      </c>
      <c r="AH83" s="4"/>
      <c r="AI83" s="1">
        <v>2</v>
      </c>
      <c r="AJ83" s="1"/>
      <c r="AK83" s="1"/>
      <c r="AL83" s="1">
        <v>1</v>
      </c>
      <c r="AM83" s="1">
        <v>2.5</v>
      </c>
      <c r="AN83" s="1"/>
      <c r="AO83" s="1"/>
      <c r="AP83" s="1" t="s">
        <v>79</v>
      </c>
      <c r="AQ83" s="1" t="s">
        <v>79</v>
      </c>
      <c r="AR83" s="2"/>
    </row>
    <row r="84" spans="2:44" ht="18" customHeight="1">
      <c r="B84" s="17"/>
      <c r="C84" s="1" t="s">
        <v>1</v>
      </c>
      <c r="D84" s="1" t="s">
        <v>1</v>
      </c>
      <c r="E84" s="1">
        <v>1</v>
      </c>
      <c r="F84" s="1">
        <v>2</v>
      </c>
      <c r="G84" s="1">
        <v>1</v>
      </c>
      <c r="H84" s="1">
        <v>1</v>
      </c>
      <c r="I84" s="1">
        <v>1</v>
      </c>
      <c r="J84" s="1"/>
      <c r="K84" s="8" t="str">
        <f>CustomFormatWbsIdx(B84,E84,F84,G84,H84,I84,J84)</f>
        <v>001.002.001.001.001.---</v>
      </c>
      <c r="L84" s="8">
        <v>1</v>
      </c>
      <c r="M84" s="8">
        <f>CustomFuncGetLevel(E84,F84,G84,H84,I84)</f>
        <v>5</v>
      </c>
      <c r="N84" s="8" t="b">
        <f>AND(J84&lt;&gt;"",ISNUMBER(J84))</f>
        <v>0</v>
      </c>
      <c r="O84" s="8" t="b">
        <f>NOT(OR(AB84="削除",AB84="移管済",AB84="棚上げ",AB84="却下"))</f>
        <v>1</v>
      </c>
      <c r="P84" s="8" t="b">
        <v>1</v>
      </c>
      <c r="Q84" s="8" t="b">
        <v>1</v>
      </c>
      <c r="R84" s="8" t="str">
        <f>CustomFormatWbsId(B84,E84,F84,G84,H84,I84,J84)</f>
        <v>1.2.1.1.1</v>
      </c>
      <c r="S84" s="2"/>
      <c r="T84" s="2"/>
      <c r="U84" s="2"/>
      <c r="V84" s="2"/>
      <c r="W84" s="2" t="s">
        <v>70</v>
      </c>
      <c r="X84" s="2"/>
      <c r="Y84" s="2"/>
      <c r="Z84" s="7">
        <v>3</v>
      </c>
      <c r="AA84" s="7">
        <v>0</v>
      </c>
      <c r="AB84" s="1" t="s">
        <v>79</v>
      </c>
      <c r="AC84" s="1">
        <v>0.3444444444444445</v>
      </c>
      <c r="AD84" s="3">
        <v>0.72000001072883602</v>
      </c>
      <c r="AE84" s="1">
        <v>1</v>
      </c>
      <c r="AF84" s="1" t="s">
        <v>79</v>
      </c>
      <c r="AG84" s="1" t="s">
        <v>79</v>
      </c>
      <c r="AH84" s="4"/>
      <c r="AI84" s="1">
        <v>3.5</v>
      </c>
      <c r="AJ84" s="1"/>
      <c r="AK84" s="1"/>
      <c r="AL84" s="1">
        <v>4.5</v>
      </c>
      <c r="AM84" s="1">
        <v>3</v>
      </c>
      <c r="AN84" s="1"/>
      <c r="AO84" s="1"/>
      <c r="AP84" s="1" t="s">
        <v>79</v>
      </c>
      <c r="AQ84" s="1" t="s">
        <v>79</v>
      </c>
      <c r="AR84" s="2"/>
    </row>
    <row r="85" spans="2:44" ht="18" customHeight="1">
      <c r="B85" s="17"/>
      <c r="C85" s="1" t="s">
        <v>1</v>
      </c>
      <c r="D85" s="1" t="s">
        <v>1</v>
      </c>
      <c r="E85" s="1">
        <v>1</v>
      </c>
      <c r="F85" s="1">
        <v>2</v>
      </c>
      <c r="G85" s="1">
        <v>1</v>
      </c>
      <c r="H85" s="1">
        <v>1</v>
      </c>
      <c r="I85" s="1">
        <v>1</v>
      </c>
      <c r="J85" s="1">
        <v>1</v>
      </c>
      <c r="K85" s="8" t="str">
        <f>CustomFormatWbsIdx(B85,E85,F85,G85,H85,I85,J85)</f>
        <v>001.002.001.001.001.001</v>
      </c>
      <c r="L85" s="8">
        <v>1</v>
      </c>
      <c r="M85" s="8">
        <f>CustomFuncGetLevel(E85,F85,G85,H85,I85)</f>
        <v>5</v>
      </c>
      <c r="N85" s="8" t="b">
        <f>AND(J85&lt;&gt;"",ISNUMBER(J85))</f>
        <v>1</v>
      </c>
      <c r="O85" s="8" t="b">
        <f>NOT(OR(AB85="削除",AB85="移管済",AB85="棚上げ",AB85="却下"))</f>
        <v>1</v>
      </c>
      <c r="P85" s="8" t="b">
        <v>1</v>
      </c>
      <c r="Q85" s="8" t="b">
        <v>0</v>
      </c>
      <c r="R85" s="8" t="str">
        <f>CustomFormatWbsId(B85,E85,F85,G85,H85,I85,J85)</f>
        <v>1.2.1.1.1.T1</v>
      </c>
      <c r="S85" s="2"/>
      <c r="T85" s="2"/>
      <c r="U85" s="2"/>
      <c r="V85" s="2"/>
      <c r="W85" s="2"/>
      <c r="X85" s="2" t="s">
        <v>71</v>
      </c>
      <c r="Y85" s="2"/>
      <c r="Z85" s="7">
        <v>1</v>
      </c>
      <c r="AA85" s="7">
        <v>0</v>
      </c>
      <c r="AB85" s="1" t="s">
        <v>79</v>
      </c>
      <c r="AC85" s="1">
        <v>0</v>
      </c>
      <c r="AD85" s="3">
        <v>0.80000001192092896</v>
      </c>
      <c r="AE85" s="1">
        <v>1</v>
      </c>
      <c r="AF85" s="1" t="s">
        <v>79</v>
      </c>
      <c r="AG85" s="1" t="s">
        <v>79</v>
      </c>
      <c r="AH85" s="4"/>
      <c r="AI85" s="1">
        <v>1.5</v>
      </c>
      <c r="AJ85" s="1"/>
      <c r="AK85" s="1"/>
      <c r="AL85" s="1">
        <v>2</v>
      </c>
      <c r="AM85" s="1">
        <v>0</v>
      </c>
      <c r="AN85" s="1"/>
      <c r="AO85" s="1"/>
      <c r="AP85" s="1" t="s">
        <v>79</v>
      </c>
      <c r="AQ85" s="1" t="s">
        <v>79</v>
      </c>
      <c r="AR85" s="2"/>
    </row>
    <row r="86" spans="2:44" ht="18" customHeight="1">
      <c r="B86" s="17"/>
      <c r="C86" s="1" t="s">
        <v>1</v>
      </c>
      <c r="D86" s="1" t="s">
        <v>1</v>
      </c>
      <c r="E86" s="1">
        <v>1</v>
      </c>
      <c r="F86" s="1">
        <v>2</v>
      </c>
      <c r="G86" s="1">
        <v>1</v>
      </c>
      <c r="H86" s="1">
        <v>1</v>
      </c>
      <c r="I86" s="1">
        <v>1</v>
      </c>
      <c r="J86" s="1">
        <v>2</v>
      </c>
      <c r="K86" s="8" t="str">
        <f>CustomFormatWbsIdx(B86,E86,F86,G86,H86,I86,J86)</f>
        <v>001.002.001.001.001.002</v>
      </c>
      <c r="L86" s="8">
        <v>1</v>
      </c>
      <c r="M86" s="8">
        <f>CustomFuncGetLevel(E86,F86,G86,H86,I86)</f>
        <v>5</v>
      </c>
      <c r="N86" s="8" t="b">
        <f>AND(J86&lt;&gt;"",ISNUMBER(J86))</f>
        <v>1</v>
      </c>
      <c r="O86" s="8" t="b">
        <f>NOT(OR(AB86="削除",AB86="移管済",AB86="棚上げ",AB86="却下"))</f>
        <v>1</v>
      </c>
      <c r="P86" s="8" t="b">
        <v>1</v>
      </c>
      <c r="Q86" s="8" t="b">
        <v>0</v>
      </c>
      <c r="R86" s="8" t="str">
        <f>CustomFormatWbsId(B86,E86,F86,G86,H86,I86,J86)</f>
        <v>1.2.1.1.1.T2</v>
      </c>
      <c r="S86" s="2"/>
      <c r="T86" s="2"/>
      <c r="U86" s="2"/>
      <c r="V86" s="2"/>
      <c r="W86" s="2"/>
      <c r="X86" s="2" t="s">
        <v>72</v>
      </c>
      <c r="Y86" s="2"/>
      <c r="Z86" s="7">
        <v>1</v>
      </c>
      <c r="AA86" s="7">
        <v>0</v>
      </c>
      <c r="AB86" s="1" t="s">
        <v>79</v>
      </c>
      <c r="AC86" s="1">
        <v>0.83333333333333337</v>
      </c>
      <c r="AD86" s="3">
        <v>0.40000000596046448</v>
      </c>
      <c r="AE86" s="1">
        <v>1</v>
      </c>
      <c r="AF86" s="1" t="s">
        <v>79</v>
      </c>
      <c r="AG86" s="1" t="s">
        <v>79</v>
      </c>
      <c r="AH86" s="4"/>
      <c r="AI86" s="1">
        <v>1</v>
      </c>
      <c r="AJ86" s="1"/>
      <c r="AK86" s="1"/>
      <c r="AL86" s="1">
        <v>0.5</v>
      </c>
      <c r="AM86" s="1">
        <v>2.5</v>
      </c>
      <c r="AN86" s="1"/>
      <c r="AO86" s="1"/>
      <c r="AP86" s="1" t="s">
        <v>79</v>
      </c>
      <c r="AQ86" s="1" t="s">
        <v>79</v>
      </c>
      <c r="AR86" s="2"/>
    </row>
    <row r="87" spans="2:44" ht="18" customHeight="1">
      <c r="B87" s="17"/>
      <c r="C87" s="1" t="s">
        <v>1</v>
      </c>
      <c r="D87" s="1" t="s">
        <v>1</v>
      </c>
      <c r="E87" s="1">
        <v>1</v>
      </c>
      <c r="F87" s="1">
        <v>2</v>
      </c>
      <c r="G87" s="1">
        <v>1</v>
      </c>
      <c r="H87" s="1">
        <v>1</v>
      </c>
      <c r="I87" s="1">
        <v>1</v>
      </c>
      <c r="J87" s="1">
        <v>3</v>
      </c>
      <c r="K87" s="8" t="str">
        <f>CustomFormatWbsIdx(B87,E87,F87,G87,H87,I87,J87)</f>
        <v>001.002.001.001.001.003</v>
      </c>
      <c r="L87" s="8">
        <v>1</v>
      </c>
      <c r="M87" s="8">
        <f>CustomFuncGetLevel(E87,F87,G87,H87,I87)</f>
        <v>5</v>
      </c>
      <c r="N87" s="8" t="b">
        <f>AND(J87&lt;&gt;"",ISNUMBER(J87))</f>
        <v>1</v>
      </c>
      <c r="O87" s="8" t="b">
        <f>NOT(OR(AB87="削除",AB87="移管済",AB87="棚上げ",AB87="却下"))</f>
        <v>1</v>
      </c>
      <c r="P87" s="8" t="b">
        <v>1</v>
      </c>
      <c r="Q87" s="8" t="b">
        <v>0</v>
      </c>
      <c r="R87" s="8" t="str">
        <f>CustomFormatWbsId(B87,E87,F87,G87,H87,I87,J87)</f>
        <v>1.2.1.1.1.T3</v>
      </c>
      <c r="S87" s="2"/>
      <c r="T87" s="2"/>
      <c r="U87" s="2"/>
      <c r="V87" s="2"/>
      <c r="W87" s="2"/>
      <c r="X87" s="2"/>
      <c r="Y87" s="2"/>
      <c r="Z87" s="7">
        <v>1</v>
      </c>
      <c r="AA87" s="7">
        <v>0</v>
      </c>
      <c r="AB87" s="1" t="s">
        <v>79</v>
      </c>
      <c r="AC87" s="1">
        <v>0.2</v>
      </c>
      <c r="AD87" s="3">
        <v>0.80000001192092896</v>
      </c>
      <c r="AE87" s="1">
        <v>3</v>
      </c>
      <c r="AF87" s="1" t="s">
        <v>79</v>
      </c>
      <c r="AG87" s="1" t="s">
        <v>79</v>
      </c>
      <c r="AH87" s="4"/>
      <c r="AI87" s="1">
        <v>1</v>
      </c>
      <c r="AJ87" s="1"/>
      <c r="AK87" s="1"/>
      <c r="AL87" s="1">
        <v>2</v>
      </c>
      <c r="AM87" s="1">
        <v>0.5</v>
      </c>
      <c r="AN87" s="1"/>
      <c r="AO87" s="1"/>
      <c r="AP87" s="1" t="s">
        <v>79</v>
      </c>
      <c r="AQ87" s="1" t="s">
        <v>79</v>
      </c>
      <c r="AR87" s="2"/>
    </row>
    <row r="88" spans="2:44" ht="18" customHeight="1">
      <c r="B88" s="17"/>
      <c r="C88" s="1" t="s">
        <v>1</v>
      </c>
      <c r="D88" s="1" t="s">
        <v>1</v>
      </c>
      <c r="E88" s="1">
        <v>1</v>
      </c>
      <c r="F88" s="1">
        <v>2</v>
      </c>
      <c r="G88" s="1">
        <v>1</v>
      </c>
      <c r="H88" s="1">
        <v>1</v>
      </c>
      <c r="I88" s="1">
        <v>2</v>
      </c>
      <c r="J88" s="1"/>
      <c r="K88" s="8" t="str">
        <f>CustomFormatWbsIdx(B88,E88,F88,G88,H88,I88,J88)</f>
        <v>001.002.001.001.002.---</v>
      </c>
      <c r="L88" s="8">
        <v>1</v>
      </c>
      <c r="M88" s="8">
        <f>CustomFuncGetLevel(E88,F88,G88,H88,I88)</f>
        <v>5</v>
      </c>
      <c r="N88" s="8" t="b">
        <f>AND(J88&lt;&gt;"",ISNUMBER(J88))</f>
        <v>0</v>
      </c>
      <c r="O88" s="8" t="b">
        <f>NOT(OR(AB88="削除",AB88="移管済",AB88="棚上げ",AB88="却下"))</f>
        <v>1</v>
      </c>
      <c r="P88" s="8" t="b">
        <v>1</v>
      </c>
      <c r="Q88" s="8" t="b">
        <v>1</v>
      </c>
      <c r="R88" s="8" t="str">
        <f>CustomFormatWbsId(B88,E88,F88,G88,H88,I88,J88)</f>
        <v>1.2.1.1.2</v>
      </c>
      <c r="S88" s="2"/>
      <c r="T88" s="2"/>
      <c r="U88" s="2"/>
      <c r="V88" s="2"/>
      <c r="W88" s="2"/>
      <c r="X88" s="2"/>
      <c r="Y88" s="2"/>
      <c r="Z88" s="7">
        <v>3</v>
      </c>
      <c r="AA88" s="7">
        <v>0</v>
      </c>
      <c r="AB88" s="1" t="s">
        <v>79</v>
      </c>
      <c r="AC88" s="1">
        <v>0.57142857142857151</v>
      </c>
      <c r="AD88" s="3">
        <v>0.35000000894069672</v>
      </c>
      <c r="AE88" s="1">
        <v>1</v>
      </c>
      <c r="AF88" s="1" t="s">
        <v>79</v>
      </c>
      <c r="AG88" s="1" t="s">
        <v>79</v>
      </c>
      <c r="AH88" s="4"/>
      <c r="AI88" s="1">
        <v>4</v>
      </c>
      <c r="AJ88" s="1"/>
      <c r="AK88" s="1"/>
      <c r="AL88" s="1">
        <v>1.5</v>
      </c>
      <c r="AM88" s="1">
        <v>4</v>
      </c>
      <c r="AN88" s="1"/>
      <c r="AO88" s="1"/>
      <c r="AP88" s="1" t="s">
        <v>79</v>
      </c>
      <c r="AQ88" s="1" t="s">
        <v>79</v>
      </c>
      <c r="AR88" s="2"/>
    </row>
    <row r="89" spans="2:44" ht="18" customHeight="1">
      <c r="B89" s="17"/>
      <c r="C89" s="1" t="s">
        <v>1</v>
      </c>
      <c r="D89" s="1" t="s">
        <v>1</v>
      </c>
      <c r="E89" s="1">
        <v>1</v>
      </c>
      <c r="F89" s="1">
        <v>2</v>
      </c>
      <c r="G89" s="1">
        <v>1</v>
      </c>
      <c r="H89" s="1">
        <v>1</v>
      </c>
      <c r="I89" s="1">
        <v>2</v>
      </c>
      <c r="J89" s="1">
        <v>1</v>
      </c>
      <c r="K89" s="8" t="str">
        <f>CustomFormatWbsIdx(B89,E89,F89,G89,H89,I89,J89)</f>
        <v>001.002.001.001.002.001</v>
      </c>
      <c r="L89" s="8">
        <v>1</v>
      </c>
      <c r="M89" s="8">
        <f>CustomFuncGetLevel(E89,F89,G89,H89,I89)</f>
        <v>5</v>
      </c>
      <c r="N89" s="8" t="b">
        <f>AND(J89&lt;&gt;"",ISNUMBER(J89))</f>
        <v>1</v>
      </c>
      <c r="O89" s="8" t="b">
        <f>NOT(OR(AB89="削除",AB89="移管済",AB89="棚上げ",AB89="却下"))</f>
        <v>1</v>
      </c>
      <c r="P89" s="8" t="b">
        <v>1</v>
      </c>
      <c r="Q89" s="8" t="b">
        <v>0</v>
      </c>
      <c r="R89" s="8" t="str">
        <f>CustomFormatWbsId(B89,E89,F89,G89,H89,I89,J89)</f>
        <v>1.2.1.1.2.T1</v>
      </c>
      <c r="S89" s="2"/>
      <c r="T89" s="2"/>
      <c r="U89" s="2"/>
      <c r="V89" s="2"/>
      <c r="W89" s="2"/>
      <c r="X89" s="2" t="s">
        <v>71</v>
      </c>
      <c r="Y89" s="2"/>
      <c r="Z89" s="7">
        <v>1</v>
      </c>
      <c r="AA89" s="7">
        <v>0</v>
      </c>
      <c r="AB89" s="1" t="s">
        <v>79</v>
      </c>
      <c r="AC89" s="1">
        <v>1</v>
      </c>
      <c r="AD89" s="3">
        <v>0.30000001192092896</v>
      </c>
      <c r="AE89" s="1">
        <v>2</v>
      </c>
      <c r="AF89" s="1" t="s">
        <v>79</v>
      </c>
      <c r="AG89" s="1" t="s">
        <v>79</v>
      </c>
      <c r="AH89" s="4"/>
      <c r="AI89" s="1">
        <v>2.5</v>
      </c>
      <c r="AJ89" s="1"/>
      <c r="AK89" s="1"/>
      <c r="AL89" s="1">
        <v>0</v>
      </c>
      <c r="AM89" s="1">
        <v>1.5</v>
      </c>
      <c r="AN89" s="1"/>
      <c r="AO89" s="1"/>
      <c r="AP89" s="1" t="s">
        <v>79</v>
      </c>
      <c r="AQ89" s="1" t="s">
        <v>79</v>
      </c>
      <c r="AR89" s="2"/>
    </row>
    <row r="90" spans="2:44" ht="18" customHeight="1">
      <c r="B90" s="17"/>
      <c r="C90" s="1" t="s">
        <v>1</v>
      </c>
      <c r="D90" s="1" t="s">
        <v>1</v>
      </c>
      <c r="E90" s="1">
        <v>1</v>
      </c>
      <c r="F90" s="1">
        <v>2</v>
      </c>
      <c r="G90" s="1">
        <v>1</v>
      </c>
      <c r="H90" s="1">
        <v>1</v>
      </c>
      <c r="I90" s="1">
        <v>2</v>
      </c>
      <c r="J90" s="1">
        <v>2</v>
      </c>
      <c r="K90" s="8" t="str">
        <f>CustomFormatWbsIdx(B90,E90,F90,G90,H90,I90,J90)</f>
        <v>001.002.001.001.002.002</v>
      </c>
      <c r="L90" s="8">
        <v>1</v>
      </c>
      <c r="M90" s="8">
        <f>CustomFuncGetLevel(E90,F90,G90,H90,I90)</f>
        <v>5</v>
      </c>
      <c r="N90" s="8" t="b">
        <f>AND(J90&lt;&gt;"",ISNUMBER(J90))</f>
        <v>1</v>
      </c>
      <c r="O90" s="8" t="b">
        <f>NOT(OR(AB90="削除",AB90="移管済",AB90="棚上げ",AB90="却下"))</f>
        <v>1</v>
      </c>
      <c r="P90" s="8" t="b">
        <v>1</v>
      </c>
      <c r="Q90" s="8" t="b">
        <v>0</v>
      </c>
      <c r="R90" s="8" t="str">
        <f>CustomFormatWbsId(B90,E90,F90,G90,H90,I90,J90)</f>
        <v>1.2.1.1.2.T2</v>
      </c>
      <c r="S90" s="2"/>
      <c r="T90" s="2"/>
      <c r="U90" s="2"/>
      <c r="V90" s="2"/>
      <c r="W90" s="2"/>
      <c r="X90" s="2" t="s">
        <v>72</v>
      </c>
      <c r="Y90" s="2"/>
      <c r="Z90" s="7">
        <v>1</v>
      </c>
      <c r="AA90" s="7">
        <v>0</v>
      </c>
      <c r="AB90" s="1" t="s">
        <v>79</v>
      </c>
      <c r="AC90" s="1">
        <v>0</v>
      </c>
      <c r="AD90" s="3">
        <v>0.30000001192092896</v>
      </c>
      <c r="AE90" s="1">
        <v>1</v>
      </c>
      <c r="AF90" s="1" t="s">
        <v>79</v>
      </c>
      <c r="AG90" s="1" t="s">
        <v>79</v>
      </c>
      <c r="AH90" s="4"/>
      <c r="AI90" s="1">
        <v>0</v>
      </c>
      <c r="AJ90" s="1"/>
      <c r="AK90" s="1"/>
      <c r="AL90" s="1">
        <v>0.5</v>
      </c>
      <c r="AM90" s="1">
        <v>0</v>
      </c>
      <c r="AN90" s="1"/>
      <c r="AO90" s="1"/>
      <c r="AP90" s="1" t="s">
        <v>79</v>
      </c>
      <c r="AQ90" s="1" t="s">
        <v>79</v>
      </c>
      <c r="AR90" s="2"/>
    </row>
    <row r="91" spans="2:44" ht="18" customHeight="1">
      <c r="B91" s="17"/>
      <c r="C91" s="1" t="s">
        <v>1</v>
      </c>
      <c r="D91" s="1" t="s">
        <v>1</v>
      </c>
      <c r="E91" s="1">
        <v>1</v>
      </c>
      <c r="F91" s="1">
        <v>2</v>
      </c>
      <c r="G91" s="1">
        <v>1</v>
      </c>
      <c r="H91" s="1">
        <v>1</v>
      </c>
      <c r="I91" s="1">
        <v>2</v>
      </c>
      <c r="J91" s="1">
        <v>3</v>
      </c>
      <c r="K91" s="8" t="str">
        <f>CustomFormatWbsIdx(B91,E91,F91,G91,H91,I91,J91)</f>
        <v>001.002.001.001.002.003</v>
      </c>
      <c r="L91" s="8">
        <v>1</v>
      </c>
      <c r="M91" s="8">
        <f>CustomFuncGetLevel(E91,F91,G91,H91,I91)</f>
        <v>5</v>
      </c>
      <c r="N91" s="8" t="b">
        <f>AND(J91&lt;&gt;"",ISNUMBER(J91))</f>
        <v>1</v>
      </c>
      <c r="O91" s="8" t="b">
        <f>NOT(OR(AB91="削除",AB91="移管済",AB91="棚上げ",AB91="却下"))</f>
        <v>1</v>
      </c>
      <c r="P91" s="8" t="b">
        <v>1</v>
      </c>
      <c r="Q91" s="8" t="b">
        <v>0</v>
      </c>
      <c r="R91" s="8" t="str">
        <f>CustomFormatWbsId(B91,E91,F91,G91,H91,I91,J91)</f>
        <v>1.2.1.1.2.T3</v>
      </c>
      <c r="S91" s="2"/>
      <c r="T91" s="2"/>
      <c r="U91" s="2"/>
      <c r="V91" s="2"/>
      <c r="W91" s="2"/>
      <c r="X91" s="2"/>
      <c r="Y91" s="2"/>
      <c r="Z91" s="7">
        <v>1</v>
      </c>
      <c r="AA91" s="7">
        <v>0</v>
      </c>
      <c r="AB91" s="1" t="s">
        <v>79</v>
      </c>
      <c r="AC91" s="1">
        <v>0.7142857142857143</v>
      </c>
      <c r="AD91" s="3">
        <v>0.40000000596046448</v>
      </c>
      <c r="AE91" s="1">
        <v>3</v>
      </c>
      <c r="AF91" s="1" t="s">
        <v>79</v>
      </c>
      <c r="AG91" s="1" t="s">
        <v>79</v>
      </c>
      <c r="AH91" s="4"/>
      <c r="AI91" s="1">
        <v>1.5</v>
      </c>
      <c r="AJ91" s="1"/>
      <c r="AK91" s="1"/>
      <c r="AL91" s="1">
        <v>1</v>
      </c>
      <c r="AM91" s="1">
        <v>2.5</v>
      </c>
      <c r="AN91" s="1"/>
      <c r="AO91" s="1"/>
      <c r="AP91" s="1" t="s">
        <v>79</v>
      </c>
      <c r="AQ91" s="1" t="s">
        <v>79</v>
      </c>
      <c r="AR91" s="2"/>
    </row>
    <row r="92" spans="2:44" ht="18" customHeight="1">
      <c r="B92" s="17"/>
      <c r="C92" s="1" t="s">
        <v>1</v>
      </c>
      <c r="D92" s="1" t="s">
        <v>1</v>
      </c>
      <c r="E92" s="1">
        <v>1</v>
      </c>
      <c r="F92" s="1">
        <v>2</v>
      </c>
      <c r="G92" s="1">
        <v>1</v>
      </c>
      <c r="H92" s="1">
        <v>2</v>
      </c>
      <c r="I92" s="1"/>
      <c r="J92" s="1"/>
      <c r="K92" s="8" t="str">
        <f>CustomFormatWbsIdx(B92,E92,F92,G92,H92,I92,J92)</f>
        <v>001.002.001.002.---.---</v>
      </c>
      <c r="L92" s="8">
        <v>1</v>
      </c>
      <c r="M92" s="8">
        <f>CustomFuncGetLevel(E92,F92,G92,H92,I92)</f>
        <v>4</v>
      </c>
      <c r="N92" s="8" t="b">
        <f>AND(J92&lt;&gt;"",ISNUMBER(J92))</f>
        <v>0</v>
      </c>
      <c r="O92" s="8" t="b">
        <f>NOT(OR(AB92="削除",AB92="移管済",AB92="棚上げ",AB92="却下"))</f>
        <v>1</v>
      </c>
      <c r="P92" s="8" t="b">
        <v>1</v>
      </c>
      <c r="Q92" s="8" t="b">
        <v>1</v>
      </c>
      <c r="R92" s="8" t="str">
        <f>CustomFormatWbsId(B92,E92,F92,G92,H92,I92,J92)</f>
        <v>1.2.1.2</v>
      </c>
      <c r="S92" s="2"/>
      <c r="T92" s="2"/>
      <c r="U92" s="2"/>
      <c r="V92" s="2"/>
      <c r="W92" s="2"/>
      <c r="X92" s="2"/>
      <c r="Y92" s="2"/>
      <c r="Z92" s="7">
        <v>9</v>
      </c>
      <c r="AA92" s="7">
        <v>1</v>
      </c>
      <c r="AB92" s="1" t="s">
        <v>79</v>
      </c>
      <c r="AC92" s="1">
        <v>0.55685185185185182</v>
      </c>
      <c r="AD92" s="3">
        <v>0.62000000365078445</v>
      </c>
      <c r="AE92" s="1">
        <v>1</v>
      </c>
      <c r="AF92" s="1" t="s">
        <v>79</v>
      </c>
      <c r="AG92" s="1" t="s">
        <v>79</v>
      </c>
      <c r="AH92" s="4"/>
      <c r="AI92" s="1">
        <v>10</v>
      </c>
      <c r="AJ92" s="1"/>
      <c r="AK92" s="1"/>
      <c r="AL92" s="1">
        <v>13</v>
      </c>
      <c r="AM92" s="1">
        <v>12</v>
      </c>
      <c r="AN92" s="1"/>
      <c r="AO92" s="1"/>
      <c r="AP92" s="1" t="s">
        <v>79</v>
      </c>
      <c r="AQ92" s="1" t="s">
        <v>79</v>
      </c>
      <c r="AR92" s="2"/>
    </row>
    <row r="93" spans="2:44" ht="18" customHeight="1">
      <c r="B93" s="17"/>
      <c r="C93" s="1" t="s">
        <v>1</v>
      </c>
      <c r="D93" s="1" t="s">
        <v>1</v>
      </c>
      <c r="E93" s="1">
        <v>1</v>
      </c>
      <c r="F93" s="1">
        <v>2</v>
      </c>
      <c r="G93" s="1">
        <v>1</v>
      </c>
      <c r="H93" s="1">
        <v>2</v>
      </c>
      <c r="I93" s="1"/>
      <c r="J93" s="1">
        <v>1</v>
      </c>
      <c r="K93" s="8" t="str">
        <f>CustomFormatWbsIdx(B93,E93,F93,G93,H93,I93,J93)</f>
        <v>001.002.001.002.---.001</v>
      </c>
      <c r="L93" s="8">
        <v>1</v>
      </c>
      <c r="M93" s="8">
        <f>CustomFuncGetLevel(E93,F93,G93,H93,I93)</f>
        <v>4</v>
      </c>
      <c r="N93" s="8" t="b">
        <f>AND(J93&lt;&gt;"",ISNUMBER(J93))</f>
        <v>1</v>
      </c>
      <c r="O93" s="8" t="b">
        <f>NOT(OR(AB93="削除",AB93="移管済",AB93="棚上げ",AB93="却下"))</f>
        <v>1</v>
      </c>
      <c r="P93" s="8" t="b">
        <v>1</v>
      </c>
      <c r="Q93" s="8" t="b">
        <v>0</v>
      </c>
      <c r="R93" s="8" t="str">
        <f>CustomFormatWbsId(B93,E93,F93,G93,H93,I93,J93)</f>
        <v>1.2.1.2.T1</v>
      </c>
      <c r="S93" s="2"/>
      <c r="T93" s="2"/>
      <c r="U93" s="2"/>
      <c r="V93" s="2"/>
      <c r="W93" s="2"/>
      <c r="X93" s="2" t="s">
        <v>67</v>
      </c>
      <c r="Y93" s="2"/>
      <c r="Z93" s="7">
        <v>1</v>
      </c>
      <c r="AA93" s="7">
        <v>1</v>
      </c>
      <c r="AB93" s="1" t="s">
        <v>32</v>
      </c>
      <c r="AC93" s="1">
        <v>1</v>
      </c>
      <c r="AD93" s="3">
        <v>1</v>
      </c>
      <c r="AE93" s="1">
        <v>1</v>
      </c>
      <c r="AF93" s="1" t="s">
        <v>79</v>
      </c>
      <c r="AG93" s="1" t="s">
        <v>79</v>
      </c>
      <c r="AH93" s="4"/>
      <c r="AI93" s="1">
        <v>1</v>
      </c>
      <c r="AJ93" s="1"/>
      <c r="AK93" s="1"/>
      <c r="AL93" s="1">
        <v>0</v>
      </c>
      <c r="AM93" s="1">
        <v>0.5</v>
      </c>
      <c r="AN93" s="1"/>
      <c r="AO93" s="1"/>
      <c r="AP93" s="1" t="s">
        <v>79</v>
      </c>
      <c r="AQ93" s="1" t="s">
        <v>79</v>
      </c>
      <c r="AR93" s="2"/>
    </row>
    <row r="94" spans="2:44" ht="18" customHeight="1">
      <c r="B94" s="17"/>
      <c r="C94" s="1" t="s">
        <v>1</v>
      </c>
      <c r="D94" s="1" t="s">
        <v>1</v>
      </c>
      <c r="E94" s="1">
        <v>1</v>
      </c>
      <c r="F94" s="1">
        <v>2</v>
      </c>
      <c r="G94" s="1">
        <v>1</v>
      </c>
      <c r="H94" s="1">
        <v>2</v>
      </c>
      <c r="I94" s="1"/>
      <c r="J94" s="1">
        <v>2</v>
      </c>
      <c r="K94" s="8" t="str">
        <f>CustomFormatWbsIdx(B94,E94,F94,G94,H94,I94,J94)</f>
        <v>001.002.001.002.---.002</v>
      </c>
      <c r="L94" s="8">
        <v>1</v>
      </c>
      <c r="M94" s="8">
        <f>CustomFuncGetLevel(E94,F94,G94,H94,I94)</f>
        <v>4</v>
      </c>
      <c r="N94" s="8" t="b">
        <f>AND(J94&lt;&gt;"",ISNUMBER(J94))</f>
        <v>1</v>
      </c>
      <c r="O94" s="8" t="b">
        <f>NOT(OR(AB94="削除",AB94="移管済",AB94="棚上げ",AB94="却下"))</f>
        <v>1</v>
      </c>
      <c r="P94" s="8" t="b">
        <v>1</v>
      </c>
      <c r="Q94" s="8" t="b">
        <v>0</v>
      </c>
      <c r="R94" s="8" t="str">
        <f>CustomFormatWbsId(B94,E94,F94,G94,H94,I94,J94)</f>
        <v>1.2.1.2.T2</v>
      </c>
      <c r="S94" s="2"/>
      <c r="T94" s="2"/>
      <c r="U94" s="2"/>
      <c r="V94" s="2"/>
      <c r="W94" s="2"/>
      <c r="X94" s="2" t="s">
        <v>68</v>
      </c>
      <c r="Y94" s="2"/>
      <c r="Z94" s="7">
        <v>1</v>
      </c>
      <c r="AA94" s="7">
        <v>0</v>
      </c>
      <c r="AB94" s="1" t="s">
        <v>84</v>
      </c>
      <c r="AC94" s="1">
        <v>0.625</v>
      </c>
      <c r="AD94" s="3">
        <v>0.5</v>
      </c>
      <c r="AE94" s="1">
        <v>1</v>
      </c>
      <c r="AF94" s="1" t="s">
        <v>79</v>
      </c>
      <c r="AG94" s="1" t="s">
        <v>79</v>
      </c>
      <c r="AH94" s="4"/>
      <c r="AI94" s="1">
        <v>0</v>
      </c>
      <c r="AJ94" s="1"/>
      <c r="AK94" s="1"/>
      <c r="AL94" s="1">
        <v>1.5</v>
      </c>
      <c r="AM94" s="1">
        <v>2.5</v>
      </c>
      <c r="AN94" s="1"/>
      <c r="AO94" s="1"/>
      <c r="AP94" s="1" t="s">
        <v>79</v>
      </c>
      <c r="AQ94" s="1" t="s">
        <v>79</v>
      </c>
      <c r="AR94" s="2"/>
    </row>
    <row r="95" spans="2:44" ht="18" customHeight="1">
      <c r="B95" s="17"/>
      <c r="C95" s="1" t="s">
        <v>1</v>
      </c>
      <c r="D95" s="1" t="s">
        <v>1</v>
      </c>
      <c r="E95" s="1">
        <v>1</v>
      </c>
      <c r="F95" s="1">
        <v>2</v>
      </c>
      <c r="G95" s="1">
        <v>1</v>
      </c>
      <c r="H95" s="1">
        <v>2</v>
      </c>
      <c r="I95" s="1"/>
      <c r="J95" s="1">
        <v>3</v>
      </c>
      <c r="K95" s="8" t="str">
        <f>CustomFormatWbsIdx(B95,E95,F95,G95,H95,I95,J95)</f>
        <v>001.002.001.002.---.003</v>
      </c>
      <c r="L95" s="8">
        <v>1</v>
      </c>
      <c r="M95" s="8">
        <f>CustomFuncGetLevel(E95,F95,G95,H95,I95)</f>
        <v>4</v>
      </c>
      <c r="N95" s="8" t="b">
        <f>AND(J95&lt;&gt;"",ISNUMBER(J95))</f>
        <v>1</v>
      </c>
      <c r="O95" s="8" t="b">
        <f>NOT(OR(AB95="削除",AB95="移管済",AB95="棚上げ",AB95="却下"))</f>
        <v>1</v>
      </c>
      <c r="P95" s="8" t="b">
        <v>1</v>
      </c>
      <c r="Q95" s="8" t="b">
        <v>0</v>
      </c>
      <c r="R95" s="8" t="str">
        <f>CustomFormatWbsId(B95,E95,F95,G95,H95,I95,J95)</f>
        <v>1.2.1.2.T3</v>
      </c>
      <c r="S95" s="2"/>
      <c r="T95" s="2"/>
      <c r="U95" s="2"/>
      <c r="V95" s="2"/>
      <c r="W95" s="2"/>
      <c r="X95" s="2" t="s">
        <v>69</v>
      </c>
      <c r="Y95" s="2"/>
      <c r="Z95" s="7">
        <v>1</v>
      </c>
      <c r="AA95" s="7">
        <v>0</v>
      </c>
      <c r="AB95" s="1" t="s">
        <v>79</v>
      </c>
      <c r="AC95" s="1">
        <v>0.4</v>
      </c>
      <c r="AD95" s="3">
        <v>0.60000002384185791</v>
      </c>
      <c r="AE95" s="1">
        <v>1</v>
      </c>
      <c r="AF95" s="1" t="s">
        <v>79</v>
      </c>
      <c r="AG95" s="1" t="s">
        <v>79</v>
      </c>
      <c r="AH95" s="4"/>
      <c r="AI95" s="1">
        <v>2.5</v>
      </c>
      <c r="AJ95" s="1"/>
      <c r="AK95" s="1"/>
      <c r="AL95" s="1">
        <v>1.5</v>
      </c>
      <c r="AM95" s="1">
        <v>1</v>
      </c>
      <c r="AN95" s="1"/>
      <c r="AO95" s="1"/>
      <c r="AP95" s="1" t="s">
        <v>79</v>
      </c>
      <c r="AQ95" s="1" t="s">
        <v>79</v>
      </c>
      <c r="AR95" s="2"/>
    </row>
    <row r="96" spans="2:44" ht="18" customHeight="1">
      <c r="B96" s="17"/>
      <c r="C96" s="1" t="s">
        <v>1</v>
      </c>
      <c r="D96" s="1" t="s">
        <v>1</v>
      </c>
      <c r="E96" s="1">
        <v>1</v>
      </c>
      <c r="F96" s="1">
        <v>2</v>
      </c>
      <c r="G96" s="1">
        <v>1</v>
      </c>
      <c r="H96" s="1">
        <v>2</v>
      </c>
      <c r="I96" s="1">
        <v>1</v>
      </c>
      <c r="J96" s="1"/>
      <c r="K96" s="8" t="str">
        <f>CustomFormatWbsIdx(B96,E96,F96,G96,H96,I96,J96)</f>
        <v>001.002.001.002.001.---</v>
      </c>
      <c r="L96" s="8">
        <v>1</v>
      </c>
      <c r="M96" s="8">
        <f>CustomFuncGetLevel(E96,F96,G96,H96,I96)</f>
        <v>5</v>
      </c>
      <c r="N96" s="8" t="b">
        <f>AND(J96&lt;&gt;"",ISNUMBER(J96))</f>
        <v>0</v>
      </c>
      <c r="O96" s="8" t="b">
        <f>NOT(OR(AB96="削除",AB96="移管済",AB96="棚上げ",AB96="却下"))</f>
        <v>1</v>
      </c>
      <c r="P96" s="8" t="b">
        <v>1</v>
      </c>
      <c r="Q96" s="8" t="b">
        <v>1</v>
      </c>
      <c r="R96" s="8" t="str">
        <f>CustomFormatWbsId(B96,E96,F96,G96,H96,I96,J96)</f>
        <v>1.2.1.2.1</v>
      </c>
      <c r="S96" s="2"/>
      <c r="T96" s="2"/>
      <c r="U96" s="2"/>
      <c r="V96" s="2"/>
      <c r="W96" s="2" t="s">
        <v>70</v>
      </c>
      <c r="X96" s="2"/>
      <c r="Y96" s="2"/>
      <c r="Z96" s="7">
        <v>3</v>
      </c>
      <c r="AA96" s="7">
        <v>0</v>
      </c>
      <c r="AB96" s="1" t="s">
        <v>79</v>
      </c>
      <c r="AC96" s="1">
        <v>0.44444444444444442</v>
      </c>
      <c r="AD96" s="3">
        <v>0.19999999739229679</v>
      </c>
      <c r="AE96" s="1">
        <v>1</v>
      </c>
      <c r="AF96" s="1" t="s">
        <v>79</v>
      </c>
      <c r="AG96" s="1" t="s">
        <v>79</v>
      </c>
      <c r="AH96" s="4"/>
      <c r="AI96" s="1">
        <v>4.5</v>
      </c>
      <c r="AJ96" s="1"/>
      <c r="AK96" s="1"/>
      <c r="AL96" s="1">
        <v>4.5</v>
      </c>
      <c r="AM96" s="1">
        <v>3.5</v>
      </c>
      <c r="AN96" s="1"/>
      <c r="AO96" s="1"/>
      <c r="AP96" s="1" t="s">
        <v>79</v>
      </c>
      <c r="AQ96" s="1" t="s">
        <v>79</v>
      </c>
      <c r="AR96" s="2"/>
    </row>
    <row r="97" spans="2:44" ht="18" customHeight="1">
      <c r="B97" s="17"/>
      <c r="C97" s="1" t="s">
        <v>1</v>
      </c>
      <c r="D97" s="1" t="s">
        <v>1</v>
      </c>
      <c r="E97" s="1">
        <v>1</v>
      </c>
      <c r="F97" s="1">
        <v>2</v>
      </c>
      <c r="G97" s="1">
        <v>1</v>
      </c>
      <c r="H97" s="1">
        <v>2</v>
      </c>
      <c r="I97" s="1">
        <v>1</v>
      </c>
      <c r="J97" s="1">
        <v>1</v>
      </c>
      <c r="K97" s="8" t="str">
        <f>CustomFormatWbsIdx(B97,E97,F97,G97,H97,I97,J97)</f>
        <v>001.002.001.002.001.001</v>
      </c>
      <c r="L97" s="8">
        <v>1</v>
      </c>
      <c r="M97" s="8">
        <f>CustomFuncGetLevel(E97,F97,G97,H97,I97)</f>
        <v>5</v>
      </c>
      <c r="N97" s="8" t="b">
        <f>AND(J97&lt;&gt;"",ISNUMBER(J97))</f>
        <v>1</v>
      </c>
      <c r="O97" s="8" t="b">
        <f>NOT(OR(AB97="削除",AB97="移管済",AB97="棚上げ",AB97="却下"))</f>
        <v>1</v>
      </c>
      <c r="P97" s="8" t="b">
        <v>1</v>
      </c>
      <c r="Q97" s="8" t="b">
        <v>0</v>
      </c>
      <c r="R97" s="8" t="str">
        <f>CustomFormatWbsId(B97,E97,F97,G97,H97,I97,J97)</f>
        <v>1.2.1.2.1.T1</v>
      </c>
      <c r="S97" s="2"/>
      <c r="T97" s="2"/>
      <c r="U97" s="2"/>
      <c r="V97" s="2"/>
      <c r="W97" s="2"/>
      <c r="X97" s="2" t="s">
        <v>71</v>
      </c>
      <c r="Y97" s="2"/>
      <c r="Z97" s="7">
        <v>1</v>
      </c>
      <c r="AA97" s="7">
        <v>0</v>
      </c>
      <c r="AB97" s="1" t="s">
        <v>79</v>
      </c>
      <c r="AC97" s="1">
        <v>0.33333333333333331</v>
      </c>
      <c r="AD97" s="3">
        <v>0.69999998807907104</v>
      </c>
      <c r="AE97" s="1">
        <v>1</v>
      </c>
      <c r="AF97" s="1" t="s">
        <v>79</v>
      </c>
      <c r="AG97" s="1" t="s">
        <v>79</v>
      </c>
      <c r="AH97" s="4"/>
      <c r="AI97" s="1">
        <v>2</v>
      </c>
      <c r="AJ97" s="1"/>
      <c r="AK97" s="1"/>
      <c r="AL97" s="1">
        <v>2</v>
      </c>
      <c r="AM97" s="1">
        <v>1</v>
      </c>
      <c r="AN97" s="1"/>
      <c r="AO97" s="1"/>
      <c r="AP97" s="1" t="s">
        <v>79</v>
      </c>
      <c r="AQ97" s="1" t="s">
        <v>79</v>
      </c>
      <c r="AR97" s="2"/>
    </row>
    <row r="98" spans="2:44" ht="18" customHeight="1">
      <c r="B98" s="17"/>
      <c r="C98" s="1" t="s">
        <v>1</v>
      </c>
      <c r="D98" s="1" t="s">
        <v>1</v>
      </c>
      <c r="E98" s="1">
        <v>1</v>
      </c>
      <c r="F98" s="1">
        <v>2</v>
      </c>
      <c r="G98" s="1">
        <v>1</v>
      </c>
      <c r="H98" s="1">
        <v>2</v>
      </c>
      <c r="I98" s="1">
        <v>1</v>
      </c>
      <c r="J98" s="1">
        <v>2</v>
      </c>
      <c r="K98" s="8" t="str">
        <f>CustomFormatWbsIdx(B98,E98,F98,G98,H98,I98,J98)</f>
        <v>001.002.001.002.001.002</v>
      </c>
      <c r="L98" s="8">
        <v>1</v>
      </c>
      <c r="M98" s="8">
        <f>CustomFuncGetLevel(E98,F98,G98,H98,I98)</f>
        <v>5</v>
      </c>
      <c r="N98" s="8" t="b">
        <f>AND(J98&lt;&gt;"",ISNUMBER(J98))</f>
        <v>1</v>
      </c>
      <c r="O98" s="8" t="b">
        <f>NOT(OR(AB98="削除",AB98="移管済",AB98="棚上げ",AB98="却下"))</f>
        <v>1</v>
      </c>
      <c r="P98" s="8" t="b">
        <v>1</v>
      </c>
      <c r="Q98" s="8" t="b">
        <v>0</v>
      </c>
      <c r="R98" s="8" t="str">
        <f>CustomFormatWbsId(B98,E98,F98,G98,H98,I98,J98)</f>
        <v>1.2.1.2.1.T2</v>
      </c>
      <c r="S98" s="2"/>
      <c r="T98" s="2"/>
      <c r="U98" s="2"/>
      <c r="V98" s="2"/>
      <c r="W98" s="2"/>
      <c r="X98" s="2" t="s">
        <v>72</v>
      </c>
      <c r="Y98" s="2"/>
      <c r="Z98" s="7">
        <v>1</v>
      </c>
      <c r="AA98" s="7">
        <v>0</v>
      </c>
      <c r="AB98" s="1" t="s">
        <v>79</v>
      </c>
      <c r="AC98" s="1">
        <v>0.8</v>
      </c>
      <c r="AD98" s="3">
        <v>0.10000000149011612</v>
      </c>
      <c r="AE98" s="1">
        <v>1</v>
      </c>
      <c r="AF98" s="1" t="s">
        <v>79</v>
      </c>
      <c r="AG98" s="1" t="s">
        <v>79</v>
      </c>
      <c r="AH98" s="4"/>
      <c r="AI98" s="1">
        <v>0.5</v>
      </c>
      <c r="AJ98" s="1"/>
      <c r="AK98" s="1"/>
      <c r="AL98" s="1">
        <v>0.5</v>
      </c>
      <c r="AM98" s="1">
        <v>2</v>
      </c>
      <c r="AN98" s="1"/>
      <c r="AO98" s="1"/>
      <c r="AP98" s="1" t="s">
        <v>79</v>
      </c>
      <c r="AQ98" s="1" t="s">
        <v>79</v>
      </c>
      <c r="AR98" s="2"/>
    </row>
    <row r="99" spans="2:44" ht="18" customHeight="1">
      <c r="B99" s="17"/>
      <c r="C99" s="1" t="s">
        <v>1</v>
      </c>
      <c r="D99" s="1" t="s">
        <v>1</v>
      </c>
      <c r="E99" s="1">
        <v>1</v>
      </c>
      <c r="F99" s="1">
        <v>2</v>
      </c>
      <c r="G99" s="1">
        <v>1</v>
      </c>
      <c r="H99" s="1">
        <v>2</v>
      </c>
      <c r="I99" s="1">
        <v>1</v>
      </c>
      <c r="J99" s="1">
        <v>3</v>
      </c>
      <c r="K99" s="8" t="str">
        <f>CustomFormatWbsIdx(B99,E99,F99,G99,H99,I99,J99)</f>
        <v>001.002.001.002.001.003</v>
      </c>
      <c r="L99" s="8">
        <v>1</v>
      </c>
      <c r="M99" s="8">
        <f>CustomFuncGetLevel(E99,F99,G99,H99,I99)</f>
        <v>5</v>
      </c>
      <c r="N99" s="8" t="b">
        <f>AND(J99&lt;&gt;"",ISNUMBER(J99))</f>
        <v>1</v>
      </c>
      <c r="O99" s="8" t="b">
        <f>NOT(OR(AB99="削除",AB99="移管済",AB99="棚上げ",AB99="却下"))</f>
        <v>1</v>
      </c>
      <c r="P99" s="8" t="b">
        <v>1</v>
      </c>
      <c r="Q99" s="8" t="b">
        <v>0</v>
      </c>
      <c r="R99" s="8" t="str">
        <f>CustomFormatWbsId(B99,E99,F99,G99,H99,I99,J99)</f>
        <v>1.2.1.2.1.T3</v>
      </c>
      <c r="S99" s="2"/>
      <c r="T99" s="2"/>
      <c r="U99" s="2"/>
      <c r="V99" s="2"/>
      <c r="W99" s="2"/>
      <c r="X99" s="2"/>
      <c r="Y99" s="2"/>
      <c r="Z99" s="7">
        <v>1</v>
      </c>
      <c r="AA99" s="7">
        <v>0</v>
      </c>
      <c r="AB99" s="1" t="s">
        <v>79</v>
      </c>
      <c r="AC99" s="1">
        <v>0.2</v>
      </c>
      <c r="AD99" s="3">
        <v>0</v>
      </c>
      <c r="AE99" s="1">
        <v>2</v>
      </c>
      <c r="AF99" s="1" t="s">
        <v>79</v>
      </c>
      <c r="AG99" s="1" t="s">
        <v>79</v>
      </c>
      <c r="AH99" s="4"/>
      <c r="AI99" s="1">
        <v>2</v>
      </c>
      <c r="AJ99" s="1"/>
      <c r="AK99" s="1"/>
      <c r="AL99" s="1">
        <v>2</v>
      </c>
      <c r="AM99" s="1">
        <v>0.5</v>
      </c>
      <c r="AN99" s="1"/>
      <c r="AO99" s="1"/>
      <c r="AP99" s="1" t="s">
        <v>79</v>
      </c>
      <c r="AQ99" s="1" t="s">
        <v>79</v>
      </c>
      <c r="AR99" s="2"/>
    </row>
    <row r="100" spans="2:44" ht="18" customHeight="1">
      <c r="B100" s="17"/>
      <c r="C100" s="1" t="s">
        <v>1</v>
      </c>
      <c r="D100" s="1" t="s">
        <v>1</v>
      </c>
      <c r="E100" s="1">
        <v>1</v>
      </c>
      <c r="F100" s="1">
        <v>2</v>
      </c>
      <c r="G100" s="1">
        <v>1</v>
      </c>
      <c r="H100" s="1">
        <v>2</v>
      </c>
      <c r="I100" s="1">
        <v>2</v>
      </c>
      <c r="J100" s="1"/>
      <c r="K100" s="8" t="str">
        <f>CustomFormatWbsIdx(B100,E100,F100,G100,H100,I100,J100)</f>
        <v>001.002.001.002.002.---</v>
      </c>
      <c r="L100" s="8">
        <v>1</v>
      </c>
      <c r="M100" s="8">
        <f>CustomFuncGetLevel(E100,F100,G100,H100,I100)</f>
        <v>5</v>
      </c>
      <c r="N100" s="8" t="b">
        <f>AND(J100&lt;&gt;"",ISNUMBER(J100))</f>
        <v>0</v>
      </c>
      <c r="O100" s="8" t="b">
        <f>NOT(OR(AB100="削除",AB100="移管済",AB100="棚上げ",AB100="却下"))</f>
        <v>1</v>
      </c>
      <c r="P100" s="8" t="b">
        <v>1</v>
      </c>
      <c r="Q100" s="8" t="b">
        <v>1</v>
      </c>
      <c r="R100" s="8" t="str">
        <f>CustomFormatWbsId(B100,E100,F100,G100,H100,I100,J100)</f>
        <v>1.2.1.2.2</v>
      </c>
      <c r="S100" s="2"/>
      <c r="T100" s="2"/>
      <c r="U100" s="2"/>
      <c r="V100" s="2"/>
      <c r="W100" s="2"/>
      <c r="X100" s="2"/>
      <c r="Y100" s="2"/>
      <c r="Z100" s="7">
        <v>3</v>
      </c>
      <c r="AA100" s="7">
        <v>0</v>
      </c>
      <c r="AB100" s="1" t="s">
        <v>79</v>
      </c>
      <c r="AC100" s="1">
        <v>0.31481481481481483</v>
      </c>
      <c r="AD100" s="3">
        <v>0.79999999701976776</v>
      </c>
      <c r="AE100" s="1">
        <v>1</v>
      </c>
      <c r="AF100" s="1" t="s">
        <v>79</v>
      </c>
      <c r="AG100" s="1" t="s">
        <v>79</v>
      </c>
      <c r="AH100" s="4"/>
      <c r="AI100" s="1">
        <v>2</v>
      </c>
      <c r="AJ100" s="1"/>
      <c r="AK100" s="1"/>
      <c r="AL100" s="1">
        <v>5.5</v>
      </c>
      <c r="AM100" s="1">
        <v>4.5</v>
      </c>
      <c r="AN100" s="1"/>
      <c r="AO100" s="1"/>
      <c r="AP100" s="1" t="s">
        <v>79</v>
      </c>
      <c r="AQ100" s="1" t="s">
        <v>79</v>
      </c>
      <c r="AR100" s="2"/>
    </row>
    <row r="101" spans="2:44" ht="18" customHeight="1">
      <c r="B101" s="17"/>
      <c r="C101" s="1" t="s">
        <v>1</v>
      </c>
      <c r="D101" s="1" t="s">
        <v>1</v>
      </c>
      <c r="E101" s="1">
        <v>1</v>
      </c>
      <c r="F101" s="1">
        <v>2</v>
      </c>
      <c r="G101" s="1">
        <v>1</v>
      </c>
      <c r="H101" s="1">
        <v>2</v>
      </c>
      <c r="I101" s="1">
        <v>2</v>
      </c>
      <c r="J101" s="1">
        <v>1</v>
      </c>
      <c r="K101" s="8" t="str">
        <f>CustomFormatWbsIdx(B101,E101,F101,G101,H101,I101,J101)</f>
        <v>001.002.001.002.002.001</v>
      </c>
      <c r="L101" s="8">
        <v>1</v>
      </c>
      <c r="M101" s="8">
        <f>CustomFuncGetLevel(E101,F101,G101,H101,I101)</f>
        <v>5</v>
      </c>
      <c r="N101" s="8" t="b">
        <f>AND(J101&lt;&gt;"",ISNUMBER(J101))</f>
        <v>1</v>
      </c>
      <c r="O101" s="8" t="b">
        <f>NOT(OR(AB101="削除",AB101="移管済",AB101="棚上げ",AB101="却下"))</f>
        <v>1</v>
      </c>
      <c r="P101" s="8" t="b">
        <v>1</v>
      </c>
      <c r="Q101" s="8" t="b">
        <v>0</v>
      </c>
      <c r="R101" s="8" t="str">
        <f>CustomFormatWbsId(B101,E101,F101,G101,H101,I101,J101)</f>
        <v>1.2.1.2.2.T1</v>
      </c>
      <c r="S101" s="2"/>
      <c r="T101" s="2"/>
      <c r="U101" s="2"/>
      <c r="V101" s="2"/>
      <c r="W101" s="2"/>
      <c r="X101" s="2" t="s">
        <v>71</v>
      </c>
      <c r="Y101" s="2"/>
      <c r="Z101" s="7">
        <v>1</v>
      </c>
      <c r="AA101" s="7">
        <v>0</v>
      </c>
      <c r="AB101" s="1" t="s">
        <v>79</v>
      </c>
      <c r="AC101" s="1">
        <v>0.5</v>
      </c>
      <c r="AD101" s="3">
        <v>1</v>
      </c>
      <c r="AE101" s="1">
        <v>3</v>
      </c>
      <c r="AF101" s="1" t="s">
        <v>79</v>
      </c>
      <c r="AG101" s="1" t="s">
        <v>79</v>
      </c>
      <c r="AH101" s="4"/>
      <c r="AI101" s="1">
        <v>2</v>
      </c>
      <c r="AJ101" s="1"/>
      <c r="AK101" s="1"/>
      <c r="AL101" s="1">
        <v>2.5</v>
      </c>
      <c r="AM101" s="1">
        <v>2.5</v>
      </c>
      <c r="AN101" s="1"/>
      <c r="AO101" s="1"/>
      <c r="AP101" s="1" t="s">
        <v>79</v>
      </c>
      <c r="AQ101" s="1" t="s">
        <v>79</v>
      </c>
      <c r="AR101" s="2"/>
    </row>
    <row r="102" spans="2:44" ht="18" customHeight="1">
      <c r="B102" s="17"/>
      <c r="C102" s="1" t="s">
        <v>1</v>
      </c>
      <c r="D102" s="1" t="s">
        <v>1</v>
      </c>
      <c r="E102" s="1">
        <v>1</v>
      </c>
      <c r="F102" s="1">
        <v>2</v>
      </c>
      <c r="G102" s="1">
        <v>1</v>
      </c>
      <c r="H102" s="1">
        <v>2</v>
      </c>
      <c r="I102" s="1">
        <v>2</v>
      </c>
      <c r="J102" s="1">
        <v>2</v>
      </c>
      <c r="K102" s="8" t="str">
        <f>CustomFormatWbsIdx(B102,E102,F102,G102,H102,I102,J102)</f>
        <v>001.002.001.002.002.002</v>
      </c>
      <c r="L102" s="8">
        <v>1</v>
      </c>
      <c r="M102" s="8">
        <f>CustomFuncGetLevel(E102,F102,G102,H102,I102)</f>
        <v>5</v>
      </c>
      <c r="N102" s="8" t="b">
        <f>AND(J102&lt;&gt;"",ISNUMBER(J102))</f>
        <v>1</v>
      </c>
      <c r="O102" s="8" t="b">
        <f>NOT(OR(AB102="削除",AB102="移管済",AB102="棚上げ",AB102="却下"))</f>
        <v>1</v>
      </c>
      <c r="P102" s="8" t="b">
        <v>1</v>
      </c>
      <c r="Q102" s="8" t="b">
        <v>0</v>
      </c>
      <c r="R102" s="8" t="str">
        <f>CustomFormatWbsId(B102,E102,F102,G102,H102,I102,J102)</f>
        <v>1.2.1.2.2.T2</v>
      </c>
      <c r="S102" s="2"/>
      <c r="T102" s="2"/>
      <c r="U102" s="2"/>
      <c r="V102" s="2"/>
      <c r="W102" s="2"/>
      <c r="X102" s="2" t="s">
        <v>72</v>
      </c>
      <c r="Y102" s="2"/>
      <c r="Z102" s="7">
        <v>1</v>
      </c>
      <c r="AA102" s="7">
        <v>0</v>
      </c>
      <c r="AB102" s="1" t="s">
        <v>79</v>
      </c>
      <c r="AC102" s="1">
        <v>0.44444444444444442</v>
      </c>
      <c r="AD102" s="3">
        <v>0.40000000596046448</v>
      </c>
      <c r="AE102" s="1">
        <v>1</v>
      </c>
      <c r="AF102" s="1" t="s">
        <v>79</v>
      </c>
      <c r="AG102" s="1" t="s">
        <v>79</v>
      </c>
      <c r="AH102" s="4"/>
      <c r="AI102" s="1">
        <v>0</v>
      </c>
      <c r="AJ102" s="1"/>
      <c r="AK102" s="1"/>
      <c r="AL102" s="1">
        <v>2.5</v>
      </c>
      <c r="AM102" s="1">
        <v>2</v>
      </c>
      <c r="AN102" s="1"/>
      <c r="AO102" s="1"/>
      <c r="AP102" s="1" t="s">
        <v>79</v>
      </c>
      <c r="AQ102" s="1" t="s">
        <v>79</v>
      </c>
      <c r="AR102" s="2"/>
    </row>
    <row r="103" spans="2:44" ht="18" customHeight="1">
      <c r="B103" s="17"/>
      <c r="C103" s="1" t="s">
        <v>1</v>
      </c>
      <c r="D103" s="1" t="s">
        <v>1</v>
      </c>
      <c r="E103" s="1">
        <v>1</v>
      </c>
      <c r="F103" s="1">
        <v>2</v>
      </c>
      <c r="G103" s="1">
        <v>1</v>
      </c>
      <c r="H103" s="1">
        <v>2</v>
      </c>
      <c r="I103" s="1">
        <v>2</v>
      </c>
      <c r="J103" s="1">
        <v>3</v>
      </c>
      <c r="K103" s="8" t="str">
        <f>CustomFormatWbsIdx(B103,E103,F103,G103,H103,I103,J103)</f>
        <v>001.002.001.002.002.003</v>
      </c>
      <c r="L103" s="8">
        <v>1</v>
      </c>
      <c r="M103" s="8">
        <f>CustomFuncGetLevel(E103,F103,G103,H103,I103)</f>
        <v>5</v>
      </c>
      <c r="N103" s="8" t="b">
        <f>AND(J103&lt;&gt;"",ISNUMBER(J103))</f>
        <v>1</v>
      </c>
      <c r="O103" s="8" t="b">
        <f>NOT(OR(AB103="削除",AB103="移管済",AB103="棚上げ",AB103="却下"))</f>
        <v>1</v>
      </c>
      <c r="P103" s="8" t="b">
        <v>1</v>
      </c>
      <c r="Q103" s="8" t="b">
        <v>0</v>
      </c>
      <c r="R103" s="8" t="str">
        <f>CustomFormatWbsId(B103,E103,F103,G103,H103,I103,J103)</f>
        <v>1.2.1.2.2.T3</v>
      </c>
      <c r="S103" s="2"/>
      <c r="T103" s="2"/>
      <c r="U103" s="2"/>
      <c r="V103" s="2"/>
      <c r="W103" s="2"/>
      <c r="X103" s="2"/>
      <c r="Y103" s="2"/>
      <c r="Z103" s="7">
        <v>1</v>
      </c>
      <c r="AA103" s="7">
        <v>0</v>
      </c>
      <c r="AB103" s="1" t="s">
        <v>79</v>
      </c>
      <c r="AC103" s="1">
        <v>0</v>
      </c>
      <c r="AD103" s="3">
        <v>0.69999998807907104</v>
      </c>
      <c r="AE103" s="1">
        <v>2</v>
      </c>
      <c r="AF103" s="1" t="s">
        <v>79</v>
      </c>
      <c r="AG103" s="1" t="s">
        <v>79</v>
      </c>
      <c r="AH103" s="4"/>
      <c r="AI103" s="1">
        <v>0</v>
      </c>
      <c r="AJ103" s="1"/>
      <c r="AK103" s="1"/>
      <c r="AL103" s="1">
        <v>0.5</v>
      </c>
      <c r="AM103" s="1">
        <v>0</v>
      </c>
      <c r="AN103" s="1"/>
      <c r="AO103" s="1"/>
      <c r="AP103" s="1" t="s">
        <v>79</v>
      </c>
      <c r="AQ103" s="1" t="s">
        <v>79</v>
      </c>
      <c r="AR103" s="2"/>
    </row>
    <row r="104" spans="2:44" ht="18" customHeight="1">
      <c r="B104" s="17"/>
      <c r="C104" s="1" t="s">
        <v>1</v>
      </c>
      <c r="D104" s="1" t="s">
        <v>1</v>
      </c>
      <c r="E104" s="1">
        <v>1</v>
      </c>
      <c r="F104" s="1">
        <v>2</v>
      </c>
      <c r="G104" s="1">
        <v>2</v>
      </c>
      <c r="H104" s="1"/>
      <c r="I104" s="1"/>
      <c r="J104" s="1"/>
      <c r="K104" s="8" t="str">
        <f>CustomFormatWbsIdx(B104,E104,F104,G104,H104,I104,J104)</f>
        <v>001.002.002.---.---.---</v>
      </c>
      <c r="L104" s="8">
        <v>1</v>
      </c>
      <c r="M104" s="8">
        <f>CustomFuncGetLevel(E104,F104,G104,H104,I104)</f>
        <v>3</v>
      </c>
      <c r="N104" s="8" t="b">
        <f>AND(J104&lt;&gt;"",ISNUMBER(J104))</f>
        <v>0</v>
      </c>
      <c r="O104" s="8" t="b">
        <f>NOT(OR(AB104="削除",AB104="移管済",AB104="棚上げ",AB104="却下"))</f>
        <v>1</v>
      </c>
      <c r="P104" s="8" t="b">
        <v>1</v>
      </c>
      <c r="Q104" s="8" t="b">
        <v>1</v>
      </c>
      <c r="R104" s="8" t="str">
        <f>CustomFormatWbsId(B104,E104,F104,G104,H104,I104,J104)</f>
        <v>1.2.2</v>
      </c>
      <c r="S104" s="2"/>
      <c r="T104" s="2"/>
      <c r="U104" s="2"/>
      <c r="V104" s="2"/>
      <c r="W104" s="2"/>
      <c r="X104" s="2"/>
      <c r="Y104" s="2"/>
      <c r="Z104" s="7">
        <v>20</v>
      </c>
      <c r="AA104" s="7">
        <v>2</v>
      </c>
      <c r="AB104" s="1" t="s">
        <v>79</v>
      </c>
      <c r="AC104" s="1">
        <v>0.60218253968253976</v>
      </c>
      <c r="AD104" s="3">
        <v>0.5867714269374098</v>
      </c>
      <c r="AE104" s="1">
        <v>1</v>
      </c>
      <c r="AF104" s="1" t="s">
        <v>79</v>
      </c>
      <c r="AG104" s="1" t="s">
        <v>79</v>
      </c>
      <c r="AH104" s="4"/>
      <c r="AI104" s="1">
        <v>25.5</v>
      </c>
      <c r="AJ104" s="1"/>
      <c r="AK104" s="1"/>
      <c r="AL104" s="1">
        <v>20.5</v>
      </c>
      <c r="AM104" s="1">
        <v>32.5</v>
      </c>
      <c r="AN104" s="1"/>
      <c r="AO104" s="1"/>
      <c r="AP104" s="1" t="s">
        <v>79</v>
      </c>
      <c r="AQ104" s="1" t="s">
        <v>79</v>
      </c>
      <c r="AR104" s="2"/>
    </row>
    <row r="105" spans="2:44" ht="18" customHeight="1">
      <c r="B105" s="17"/>
      <c r="C105" s="1" t="s">
        <v>1</v>
      </c>
      <c r="D105" s="1" t="s">
        <v>1</v>
      </c>
      <c r="E105" s="1">
        <v>1</v>
      </c>
      <c r="F105" s="1">
        <v>2</v>
      </c>
      <c r="G105" s="1">
        <v>2</v>
      </c>
      <c r="H105" s="1"/>
      <c r="I105" s="1"/>
      <c r="J105" s="1">
        <v>1</v>
      </c>
      <c r="K105" s="8" t="str">
        <f>CustomFormatWbsIdx(B105,E105,F105,G105,H105,I105,J105)</f>
        <v>001.002.002.---.---.001</v>
      </c>
      <c r="L105" s="8">
        <v>1</v>
      </c>
      <c r="M105" s="8">
        <f>CustomFuncGetLevel(E105,F105,G105,H105,I105)</f>
        <v>3</v>
      </c>
      <c r="N105" s="8" t="b">
        <f>AND(J105&lt;&gt;"",ISNUMBER(J105))</f>
        <v>1</v>
      </c>
      <c r="O105" s="8" t="b">
        <f>NOT(OR(AB105="削除",AB105="移管済",AB105="棚上げ",AB105="却下"))</f>
        <v>0</v>
      </c>
      <c r="P105" s="8" t="b">
        <v>1</v>
      </c>
      <c r="Q105" s="8" t="b">
        <v>0</v>
      </c>
      <c r="R105" s="8" t="str">
        <f>CustomFormatWbsId(B105,E105,F105,G105,H105,I105,J105)</f>
        <v>1.2.2.T1</v>
      </c>
      <c r="S105" s="2"/>
      <c r="T105" s="2"/>
      <c r="U105" s="2"/>
      <c r="V105" s="2"/>
      <c r="W105" s="2"/>
      <c r="X105" s="2" t="s">
        <v>63</v>
      </c>
      <c r="Y105" s="2"/>
      <c r="Z105" s="7">
        <v>1</v>
      </c>
      <c r="AA105" s="7">
        <v>0</v>
      </c>
      <c r="AB105" s="1" t="s">
        <v>82</v>
      </c>
      <c r="AC105" s="1">
        <v>0.75</v>
      </c>
      <c r="AD105" s="3">
        <v>0.5</v>
      </c>
      <c r="AE105" s="1">
        <v>2</v>
      </c>
      <c r="AF105" s="1" t="s">
        <v>79</v>
      </c>
      <c r="AG105" s="1" t="s">
        <v>79</v>
      </c>
      <c r="AH105" s="4"/>
      <c r="AI105" s="1">
        <v>0</v>
      </c>
      <c r="AJ105" s="1"/>
      <c r="AK105" s="1"/>
      <c r="AL105" s="1">
        <v>0.5</v>
      </c>
      <c r="AM105" s="1">
        <v>1.5</v>
      </c>
      <c r="AN105" s="1"/>
      <c r="AO105" s="1"/>
      <c r="AP105" s="1" t="s">
        <v>79</v>
      </c>
      <c r="AQ105" s="1" t="s">
        <v>79</v>
      </c>
      <c r="AR105" s="2"/>
    </row>
    <row r="106" spans="2:44" ht="18" customHeight="1">
      <c r="B106" s="17"/>
      <c r="C106" s="1" t="s">
        <v>1</v>
      </c>
      <c r="D106" s="1" t="s">
        <v>1</v>
      </c>
      <c r="E106" s="1">
        <v>1</v>
      </c>
      <c r="F106" s="1">
        <v>2</v>
      </c>
      <c r="G106" s="1">
        <v>2</v>
      </c>
      <c r="H106" s="1"/>
      <c r="I106" s="1"/>
      <c r="J106" s="1">
        <v>2</v>
      </c>
      <c r="K106" s="8" t="str">
        <f>CustomFormatWbsIdx(B106,E106,F106,G106,H106,I106,J106)</f>
        <v>001.002.002.---.---.002</v>
      </c>
      <c r="L106" s="8">
        <v>1</v>
      </c>
      <c r="M106" s="8">
        <f>CustomFuncGetLevel(E106,F106,G106,H106,I106)</f>
        <v>3</v>
      </c>
      <c r="N106" s="8" t="b">
        <f>AND(J106&lt;&gt;"",ISNUMBER(J106))</f>
        <v>1</v>
      </c>
      <c r="O106" s="8" t="b">
        <f>NOT(OR(AB106="削除",AB106="移管済",AB106="棚上げ",AB106="却下"))</f>
        <v>1</v>
      </c>
      <c r="P106" s="8" t="b">
        <v>1</v>
      </c>
      <c r="Q106" s="8" t="b">
        <v>0</v>
      </c>
      <c r="R106" s="8" t="str">
        <f>CustomFormatWbsId(B106,E106,F106,G106,H106,I106,J106)</f>
        <v>1.2.2.T2</v>
      </c>
      <c r="S106" s="2"/>
      <c r="T106" s="2"/>
      <c r="U106" s="2"/>
      <c r="V106" s="2"/>
      <c r="W106" s="2"/>
      <c r="X106" s="2" t="s">
        <v>64</v>
      </c>
      <c r="Y106" s="2"/>
      <c r="Z106" s="7">
        <v>1</v>
      </c>
      <c r="AA106" s="7">
        <v>0</v>
      </c>
      <c r="AB106" s="1" t="s">
        <v>83</v>
      </c>
      <c r="AC106" s="1">
        <v>0.83333333333333337</v>
      </c>
      <c r="AD106" s="3">
        <v>0.89999997615814209</v>
      </c>
      <c r="AE106" s="1">
        <v>1</v>
      </c>
      <c r="AF106" s="1" t="s">
        <v>79</v>
      </c>
      <c r="AG106" s="1" t="s">
        <v>79</v>
      </c>
      <c r="AH106" s="4"/>
      <c r="AI106" s="1">
        <v>1</v>
      </c>
      <c r="AJ106" s="1"/>
      <c r="AK106" s="1"/>
      <c r="AL106" s="1">
        <v>0.5</v>
      </c>
      <c r="AM106" s="1">
        <v>2.5</v>
      </c>
      <c r="AN106" s="1"/>
      <c r="AO106" s="1"/>
      <c r="AP106" s="1" t="s">
        <v>79</v>
      </c>
      <c r="AQ106" s="1" t="s">
        <v>79</v>
      </c>
      <c r="AR106" s="2"/>
    </row>
    <row r="107" spans="2:44" ht="18" customHeight="1">
      <c r="B107" s="17"/>
      <c r="C107" s="1" t="s">
        <v>1</v>
      </c>
      <c r="D107" s="1" t="s">
        <v>1</v>
      </c>
      <c r="E107" s="1">
        <v>1</v>
      </c>
      <c r="F107" s="1">
        <v>2</v>
      </c>
      <c r="G107" s="1">
        <v>2</v>
      </c>
      <c r="H107" s="1"/>
      <c r="I107" s="1"/>
      <c r="J107" s="1">
        <v>3</v>
      </c>
      <c r="K107" s="8" t="str">
        <f>CustomFormatWbsIdx(B107,E107,F107,G107,H107,I107,J107)</f>
        <v>001.002.002.---.---.003</v>
      </c>
      <c r="L107" s="8">
        <v>1</v>
      </c>
      <c r="M107" s="8">
        <f>CustomFuncGetLevel(E107,F107,G107,H107,I107)</f>
        <v>3</v>
      </c>
      <c r="N107" s="8" t="b">
        <f>AND(J107&lt;&gt;"",ISNUMBER(J107))</f>
        <v>1</v>
      </c>
      <c r="O107" s="8" t="b">
        <f>NOT(OR(AB107="削除",AB107="移管済",AB107="棚上げ",AB107="却下"))</f>
        <v>1</v>
      </c>
      <c r="P107" s="8" t="b">
        <v>1</v>
      </c>
      <c r="Q107" s="8" t="b">
        <v>0</v>
      </c>
      <c r="R107" s="8" t="str">
        <f>CustomFormatWbsId(B107,E107,F107,G107,H107,I107,J107)</f>
        <v>1.2.2.T3</v>
      </c>
      <c r="S107" s="2"/>
      <c r="T107" s="2"/>
      <c r="U107" s="2"/>
      <c r="V107" s="2"/>
      <c r="W107" s="2"/>
      <c r="X107" s="2" t="s">
        <v>65</v>
      </c>
      <c r="Y107" s="2"/>
      <c r="Z107" s="7">
        <v>1</v>
      </c>
      <c r="AA107" s="7">
        <v>0</v>
      </c>
      <c r="AB107" s="1" t="s">
        <v>79</v>
      </c>
      <c r="AC107" s="1">
        <v>0.2</v>
      </c>
      <c r="AD107" s="3">
        <v>0.40000000596046448</v>
      </c>
      <c r="AE107" s="1">
        <v>1</v>
      </c>
      <c r="AF107" s="1" t="s">
        <v>79</v>
      </c>
      <c r="AG107" s="1" t="s">
        <v>79</v>
      </c>
      <c r="AH107" s="4"/>
      <c r="AI107" s="1">
        <v>0.5</v>
      </c>
      <c r="AJ107" s="1"/>
      <c r="AK107" s="1"/>
      <c r="AL107" s="1">
        <v>2</v>
      </c>
      <c r="AM107" s="1">
        <v>0.5</v>
      </c>
      <c r="AN107" s="1"/>
      <c r="AO107" s="1"/>
      <c r="AP107" s="1" t="s">
        <v>79</v>
      </c>
      <c r="AQ107" s="1" t="s">
        <v>79</v>
      </c>
      <c r="AR107" s="2"/>
    </row>
    <row r="108" spans="2:44" ht="18" customHeight="1">
      <c r="B108" s="17"/>
      <c r="C108" s="1" t="s">
        <v>1</v>
      </c>
      <c r="D108" s="1" t="s">
        <v>1</v>
      </c>
      <c r="E108" s="1">
        <v>1</v>
      </c>
      <c r="F108" s="1">
        <v>2</v>
      </c>
      <c r="G108" s="1">
        <v>2</v>
      </c>
      <c r="H108" s="1">
        <v>1</v>
      </c>
      <c r="I108" s="1"/>
      <c r="J108" s="1"/>
      <c r="K108" s="8" t="str">
        <f>CustomFormatWbsIdx(B108,E108,F108,G108,H108,I108,J108)</f>
        <v>001.002.002.001.---.---</v>
      </c>
      <c r="L108" s="8">
        <v>1</v>
      </c>
      <c r="M108" s="8">
        <f>CustomFuncGetLevel(E108,F108,G108,H108,I108)</f>
        <v>4</v>
      </c>
      <c r="N108" s="8" t="b">
        <f>AND(J108&lt;&gt;"",ISNUMBER(J108))</f>
        <v>0</v>
      </c>
      <c r="O108" s="8" t="b">
        <f>NOT(OR(AB108="削除",AB108="移管済",AB108="棚上げ",AB108="却下"))</f>
        <v>1</v>
      </c>
      <c r="P108" s="8" t="b">
        <v>1</v>
      </c>
      <c r="Q108" s="8" t="b">
        <v>1</v>
      </c>
      <c r="R108" s="8" t="str">
        <f>CustomFormatWbsId(B108,E108,F108,G108,H108,I108,J108)</f>
        <v>1.2.2.1</v>
      </c>
      <c r="S108" s="2"/>
      <c r="T108" s="2"/>
      <c r="U108" s="2"/>
      <c r="V108" s="2" t="s">
        <v>66</v>
      </c>
      <c r="W108" s="2"/>
      <c r="X108" s="2"/>
      <c r="Y108" s="2"/>
      <c r="Z108" s="7">
        <v>9</v>
      </c>
      <c r="AA108" s="7">
        <v>1</v>
      </c>
      <c r="AB108" s="1" t="s">
        <v>79</v>
      </c>
      <c r="AC108" s="1">
        <v>0.61111111111111116</v>
      </c>
      <c r="AD108" s="3">
        <v>0.57142857504742484</v>
      </c>
      <c r="AE108" s="1">
        <v>2</v>
      </c>
      <c r="AF108" s="1" t="s">
        <v>79</v>
      </c>
      <c r="AG108" s="1" t="s">
        <v>79</v>
      </c>
      <c r="AH108" s="4"/>
      <c r="AI108" s="1">
        <v>12.5</v>
      </c>
      <c r="AJ108" s="1"/>
      <c r="AK108" s="1"/>
      <c r="AL108" s="1">
        <v>10</v>
      </c>
      <c r="AM108" s="1">
        <v>13</v>
      </c>
      <c r="AN108" s="1"/>
      <c r="AO108" s="1"/>
      <c r="AP108" s="1" t="s">
        <v>79</v>
      </c>
      <c r="AQ108" s="1" t="s">
        <v>79</v>
      </c>
      <c r="AR108" s="2"/>
    </row>
    <row r="109" spans="2:44" ht="18" customHeight="1">
      <c r="B109" s="17"/>
      <c r="C109" s="1" t="s">
        <v>1</v>
      </c>
      <c r="D109" s="1" t="s">
        <v>1</v>
      </c>
      <c r="E109" s="1">
        <v>1</v>
      </c>
      <c r="F109" s="1">
        <v>2</v>
      </c>
      <c r="G109" s="1">
        <v>2</v>
      </c>
      <c r="H109" s="1">
        <v>1</v>
      </c>
      <c r="I109" s="1"/>
      <c r="J109" s="1">
        <v>1</v>
      </c>
      <c r="K109" s="8" t="str">
        <f>CustomFormatWbsIdx(B109,E109,F109,G109,H109,I109,J109)</f>
        <v>001.002.002.001.---.001</v>
      </c>
      <c r="L109" s="8">
        <v>1</v>
      </c>
      <c r="M109" s="8">
        <f>CustomFuncGetLevel(E109,F109,G109,H109,I109)</f>
        <v>4</v>
      </c>
      <c r="N109" s="8" t="b">
        <f>AND(J109&lt;&gt;"",ISNUMBER(J109))</f>
        <v>1</v>
      </c>
      <c r="O109" s="8" t="b">
        <f>NOT(OR(AB109="削除",AB109="移管済",AB109="棚上げ",AB109="却下"))</f>
        <v>1</v>
      </c>
      <c r="P109" s="8" t="b">
        <v>1</v>
      </c>
      <c r="Q109" s="8" t="b">
        <v>0</v>
      </c>
      <c r="R109" s="8" t="str">
        <f>CustomFormatWbsId(B109,E109,F109,G109,H109,I109,J109)</f>
        <v>1.2.2.1.T1</v>
      </c>
      <c r="S109" s="2"/>
      <c r="T109" s="2"/>
      <c r="U109" s="2"/>
      <c r="V109" s="2"/>
      <c r="W109" s="2"/>
      <c r="X109" s="2" t="s">
        <v>67</v>
      </c>
      <c r="Y109" s="2"/>
      <c r="Z109" s="7">
        <v>1</v>
      </c>
      <c r="AA109" s="7">
        <v>1</v>
      </c>
      <c r="AB109" s="1" t="s">
        <v>32</v>
      </c>
      <c r="AC109" s="1">
        <v>1</v>
      </c>
      <c r="AD109" s="3">
        <v>1</v>
      </c>
      <c r="AE109" s="1">
        <v>1</v>
      </c>
      <c r="AF109" s="1" t="s">
        <v>79</v>
      </c>
      <c r="AG109" s="1" t="s">
        <v>79</v>
      </c>
      <c r="AH109" s="4"/>
      <c r="AI109" s="1">
        <v>2.5</v>
      </c>
      <c r="AJ109" s="1"/>
      <c r="AK109" s="1"/>
      <c r="AL109" s="1">
        <v>0</v>
      </c>
      <c r="AM109" s="1">
        <v>1</v>
      </c>
      <c r="AN109" s="1"/>
      <c r="AO109" s="1"/>
      <c r="AP109" s="1" t="s">
        <v>79</v>
      </c>
      <c r="AQ109" s="1" t="s">
        <v>79</v>
      </c>
      <c r="AR109" s="2"/>
    </row>
    <row r="110" spans="2:44" ht="18" customHeight="1">
      <c r="B110" s="17"/>
      <c r="C110" s="1" t="s">
        <v>1</v>
      </c>
      <c r="D110" s="1" t="s">
        <v>1</v>
      </c>
      <c r="E110" s="1">
        <v>1</v>
      </c>
      <c r="F110" s="1">
        <v>2</v>
      </c>
      <c r="G110" s="1">
        <v>2</v>
      </c>
      <c r="H110" s="1">
        <v>1</v>
      </c>
      <c r="I110" s="1"/>
      <c r="J110" s="1">
        <v>2</v>
      </c>
      <c r="K110" s="8" t="str">
        <f>CustomFormatWbsIdx(B110,E110,F110,G110,H110,I110,J110)</f>
        <v>001.002.002.001.---.002</v>
      </c>
      <c r="L110" s="8">
        <v>1</v>
      </c>
      <c r="M110" s="8">
        <f>CustomFuncGetLevel(E110,F110,G110,H110,I110)</f>
        <v>4</v>
      </c>
      <c r="N110" s="8" t="b">
        <f>AND(J110&lt;&gt;"",ISNUMBER(J110))</f>
        <v>1</v>
      </c>
      <c r="O110" s="8" t="b">
        <f>NOT(OR(AB110="削除",AB110="移管済",AB110="棚上げ",AB110="却下"))</f>
        <v>1</v>
      </c>
      <c r="P110" s="8" t="b">
        <v>1</v>
      </c>
      <c r="Q110" s="8" t="b">
        <v>0</v>
      </c>
      <c r="R110" s="8" t="str">
        <f>CustomFormatWbsId(B110,E110,F110,G110,H110,I110,J110)</f>
        <v>1.2.2.1.T2</v>
      </c>
      <c r="S110" s="2"/>
      <c r="T110" s="2"/>
      <c r="U110" s="2"/>
      <c r="V110" s="2"/>
      <c r="W110" s="2"/>
      <c r="X110" s="2" t="s">
        <v>68</v>
      </c>
      <c r="Y110" s="2"/>
      <c r="Z110" s="7">
        <v>1</v>
      </c>
      <c r="AA110" s="7">
        <v>0</v>
      </c>
      <c r="AB110" s="1" t="s">
        <v>84</v>
      </c>
      <c r="AC110" s="1">
        <v>0.625</v>
      </c>
      <c r="AD110" s="3">
        <v>0.40000000596046448</v>
      </c>
      <c r="AE110" s="1">
        <v>1</v>
      </c>
      <c r="AF110" s="1" t="s">
        <v>79</v>
      </c>
      <c r="AG110" s="1" t="s">
        <v>79</v>
      </c>
      <c r="AH110" s="4"/>
      <c r="AI110" s="1">
        <v>2.5</v>
      </c>
      <c r="AJ110" s="1"/>
      <c r="AK110" s="1"/>
      <c r="AL110" s="1">
        <v>1.5</v>
      </c>
      <c r="AM110" s="1">
        <v>2.5</v>
      </c>
      <c r="AN110" s="1"/>
      <c r="AO110" s="1"/>
      <c r="AP110" s="1" t="s">
        <v>79</v>
      </c>
      <c r="AQ110" s="1" t="s">
        <v>79</v>
      </c>
      <c r="AR110" s="2"/>
    </row>
    <row r="111" spans="2:44" ht="18" customHeight="1">
      <c r="B111" s="17"/>
      <c r="C111" s="1" t="s">
        <v>1</v>
      </c>
      <c r="D111" s="1" t="s">
        <v>1</v>
      </c>
      <c r="E111" s="1">
        <v>1</v>
      </c>
      <c r="F111" s="1">
        <v>2</v>
      </c>
      <c r="G111" s="1">
        <v>2</v>
      </c>
      <c r="H111" s="1">
        <v>1</v>
      </c>
      <c r="I111" s="1"/>
      <c r="J111" s="1">
        <v>3</v>
      </c>
      <c r="K111" s="8" t="str">
        <f>CustomFormatWbsIdx(B111,E111,F111,G111,H111,I111,J111)</f>
        <v>001.002.002.001.---.003</v>
      </c>
      <c r="L111" s="8">
        <v>1</v>
      </c>
      <c r="M111" s="8">
        <f>CustomFuncGetLevel(E111,F111,G111,H111,I111)</f>
        <v>4</v>
      </c>
      <c r="N111" s="8" t="b">
        <f>AND(J111&lt;&gt;"",ISNUMBER(J111))</f>
        <v>1</v>
      </c>
      <c r="O111" s="8" t="b">
        <f>NOT(OR(AB111="削除",AB111="移管済",AB111="棚上げ",AB111="却下"))</f>
        <v>1</v>
      </c>
      <c r="P111" s="8" t="b">
        <v>1</v>
      </c>
      <c r="Q111" s="8" t="b">
        <v>0</v>
      </c>
      <c r="R111" s="8" t="str">
        <f>CustomFormatWbsId(B111,E111,F111,G111,H111,I111,J111)</f>
        <v>1.2.2.1.T3</v>
      </c>
      <c r="S111" s="2"/>
      <c r="T111" s="2"/>
      <c r="U111" s="2"/>
      <c r="V111" s="2"/>
      <c r="W111" s="2"/>
      <c r="X111" s="2" t="s">
        <v>69</v>
      </c>
      <c r="Y111" s="2"/>
      <c r="Z111" s="7">
        <v>1</v>
      </c>
      <c r="AA111" s="7">
        <v>0</v>
      </c>
      <c r="AB111" s="1" t="s">
        <v>79</v>
      </c>
      <c r="AC111" s="1">
        <v>0.16666666666666666</v>
      </c>
      <c r="AD111" s="3">
        <v>0.5</v>
      </c>
      <c r="AE111" s="1">
        <v>1</v>
      </c>
      <c r="AF111" s="1" t="s">
        <v>79</v>
      </c>
      <c r="AG111" s="1" t="s">
        <v>79</v>
      </c>
      <c r="AH111" s="4"/>
      <c r="AI111" s="1">
        <v>0.5</v>
      </c>
      <c r="AJ111" s="1"/>
      <c r="AK111" s="1"/>
      <c r="AL111" s="1">
        <v>2.5</v>
      </c>
      <c r="AM111" s="1">
        <v>0.5</v>
      </c>
      <c r="AN111" s="1"/>
      <c r="AO111" s="1"/>
      <c r="AP111" s="1" t="s">
        <v>79</v>
      </c>
      <c r="AQ111" s="1" t="s">
        <v>79</v>
      </c>
      <c r="AR111" s="2"/>
    </row>
    <row r="112" spans="2:44" ht="18" customHeight="1">
      <c r="B112" s="17"/>
      <c r="C112" s="1" t="s">
        <v>1</v>
      </c>
      <c r="D112" s="1" t="s">
        <v>1</v>
      </c>
      <c r="E112" s="1">
        <v>1</v>
      </c>
      <c r="F112" s="1">
        <v>2</v>
      </c>
      <c r="G112" s="1">
        <v>2</v>
      </c>
      <c r="H112" s="1">
        <v>1</v>
      </c>
      <c r="I112" s="1">
        <v>1</v>
      </c>
      <c r="J112" s="1"/>
      <c r="K112" s="8" t="str">
        <f>CustomFormatWbsIdx(B112,E112,F112,G112,H112,I112,J112)</f>
        <v>001.002.002.001.001.---</v>
      </c>
      <c r="L112" s="8">
        <v>1</v>
      </c>
      <c r="M112" s="8">
        <f>CustomFuncGetLevel(E112,F112,G112,H112,I112)</f>
        <v>5</v>
      </c>
      <c r="N112" s="8" t="b">
        <f>AND(J112&lt;&gt;"",ISNUMBER(J112))</f>
        <v>0</v>
      </c>
      <c r="O112" s="8" t="b">
        <f>NOT(OR(AB112="削除",AB112="移管済",AB112="棚上げ",AB112="却下"))</f>
        <v>1</v>
      </c>
      <c r="P112" s="8" t="b">
        <v>1</v>
      </c>
      <c r="Q112" s="8" t="b">
        <v>1</v>
      </c>
      <c r="R112" s="8" t="str">
        <f>CustomFormatWbsId(B112,E112,F112,G112,H112,I112,J112)</f>
        <v>1.2.2.1.1</v>
      </c>
      <c r="S112" s="2"/>
      <c r="T112" s="2"/>
      <c r="U112" s="2"/>
      <c r="V112" s="2"/>
      <c r="W112" s="2" t="s">
        <v>70</v>
      </c>
      <c r="X112" s="2"/>
      <c r="Y112" s="2"/>
      <c r="Z112" s="7">
        <v>3</v>
      </c>
      <c r="AA112" s="7">
        <v>0</v>
      </c>
      <c r="AB112" s="1" t="s">
        <v>79</v>
      </c>
      <c r="AC112" s="1">
        <v>0.77777777777777768</v>
      </c>
      <c r="AD112" s="3">
        <v>0.70000000298023224</v>
      </c>
      <c r="AE112" s="1">
        <v>1</v>
      </c>
      <c r="AF112" s="1" t="s">
        <v>79</v>
      </c>
      <c r="AG112" s="1" t="s">
        <v>79</v>
      </c>
      <c r="AH112" s="4"/>
      <c r="AI112" s="1">
        <v>2.5</v>
      </c>
      <c r="AJ112" s="1"/>
      <c r="AK112" s="1"/>
      <c r="AL112" s="1">
        <v>2</v>
      </c>
      <c r="AM112" s="1">
        <v>4</v>
      </c>
      <c r="AN112" s="1"/>
      <c r="AO112" s="1"/>
      <c r="AP112" s="1" t="s">
        <v>79</v>
      </c>
      <c r="AQ112" s="1" t="s">
        <v>79</v>
      </c>
      <c r="AR112" s="2"/>
    </row>
    <row r="113" spans="2:44" ht="18" customHeight="1">
      <c r="B113" s="17"/>
      <c r="C113" s="1" t="s">
        <v>1</v>
      </c>
      <c r="D113" s="1" t="s">
        <v>1</v>
      </c>
      <c r="E113" s="1">
        <v>1</v>
      </c>
      <c r="F113" s="1">
        <v>2</v>
      </c>
      <c r="G113" s="1">
        <v>2</v>
      </c>
      <c r="H113" s="1">
        <v>1</v>
      </c>
      <c r="I113" s="1">
        <v>1</v>
      </c>
      <c r="J113" s="1">
        <v>1</v>
      </c>
      <c r="K113" s="8" t="str">
        <f>CustomFormatWbsIdx(B113,E113,F113,G113,H113,I113,J113)</f>
        <v>001.002.002.001.001.001</v>
      </c>
      <c r="L113" s="8">
        <v>1</v>
      </c>
      <c r="M113" s="8">
        <f>CustomFuncGetLevel(E113,F113,G113,H113,I113)</f>
        <v>5</v>
      </c>
      <c r="N113" s="8" t="b">
        <f>AND(J113&lt;&gt;"",ISNUMBER(J113))</f>
        <v>1</v>
      </c>
      <c r="O113" s="8" t="b">
        <f>NOT(OR(AB113="削除",AB113="移管済",AB113="棚上げ",AB113="却下"))</f>
        <v>1</v>
      </c>
      <c r="P113" s="8" t="b">
        <v>1</v>
      </c>
      <c r="Q113" s="8" t="b">
        <v>0</v>
      </c>
      <c r="R113" s="8" t="str">
        <f>CustomFormatWbsId(B113,E113,F113,G113,H113,I113,J113)</f>
        <v>1.2.2.1.1.T1</v>
      </c>
      <c r="S113" s="2"/>
      <c r="T113" s="2"/>
      <c r="U113" s="2"/>
      <c r="V113" s="2"/>
      <c r="W113" s="2"/>
      <c r="X113" s="2" t="s">
        <v>71</v>
      </c>
      <c r="Y113" s="2"/>
      <c r="Z113" s="7">
        <v>1</v>
      </c>
      <c r="AA113" s="7">
        <v>0</v>
      </c>
      <c r="AB113" s="1" t="s">
        <v>79</v>
      </c>
      <c r="AC113" s="1">
        <v>1</v>
      </c>
      <c r="AD113" s="3">
        <v>0.20000000298023224</v>
      </c>
      <c r="AE113" s="1">
        <v>1</v>
      </c>
      <c r="AF113" s="1" t="s">
        <v>79</v>
      </c>
      <c r="AG113" s="1" t="s">
        <v>79</v>
      </c>
      <c r="AH113" s="4"/>
      <c r="AI113" s="1">
        <v>1</v>
      </c>
      <c r="AJ113" s="1"/>
      <c r="AK113" s="1"/>
      <c r="AL113" s="1">
        <v>0</v>
      </c>
      <c r="AM113" s="1">
        <v>2</v>
      </c>
      <c r="AN113" s="1"/>
      <c r="AO113" s="1"/>
      <c r="AP113" s="1" t="s">
        <v>79</v>
      </c>
      <c r="AQ113" s="1" t="s">
        <v>79</v>
      </c>
      <c r="AR113" s="2"/>
    </row>
    <row r="114" spans="2:44" ht="18" customHeight="1">
      <c r="B114" s="17"/>
      <c r="C114" s="1" t="s">
        <v>1</v>
      </c>
      <c r="D114" s="1" t="s">
        <v>1</v>
      </c>
      <c r="E114" s="1">
        <v>1</v>
      </c>
      <c r="F114" s="1">
        <v>2</v>
      </c>
      <c r="G114" s="1">
        <v>2</v>
      </c>
      <c r="H114" s="1">
        <v>1</v>
      </c>
      <c r="I114" s="1">
        <v>1</v>
      </c>
      <c r="J114" s="1">
        <v>2</v>
      </c>
      <c r="K114" s="8" t="str">
        <f>CustomFormatWbsIdx(B114,E114,F114,G114,H114,I114,J114)</f>
        <v>001.002.002.001.001.002</v>
      </c>
      <c r="L114" s="8">
        <v>1</v>
      </c>
      <c r="M114" s="8">
        <f>CustomFuncGetLevel(E114,F114,G114,H114,I114)</f>
        <v>5</v>
      </c>
      <c r="N114" s="8" t="b">
        <f>AND(J114&lt;&gt;"",ISNUMBER(J114))</f>
        <v>1</v>
      </c>
      <c r="O114" s="8" t="b">
        <f>NOT(OR(AB114="削除",AB114="移管済",AB114="棚上げ",AB114="却下"))</f>
        <v>1</v>
      </c>
      <c r="P114" s="8" t="b">
        <v>1</v>
      </c>
      <c r="Q114" s="8" t="b">
        <v>0</v>
      </c>
      <c r="R114" s="8" t="str">
        <f>CustomFormatWbsId(B114,E114,F114,G114,H114,I114,J114)</f>
        <v>1.2.2.1.1.T2</v>
      </c>
      <c r="S114" s="2"/>
      <c r="T114" s="2"/>
      <c r="U114" s="2"/>
      <c r="V114" s="2"/>
      <c r="W114" s="2"/>
      <c r="X114" s="2" t="s">
        <v>72</v>
      </c>
      <c r="Y114" s="2"/>
      <c r="Z114" s="7">
        <v>1</v>
      </c>
      <c r="AA114" s="7">
        <v>0</v>
      </c>
      <c r="AB114" s="1" t="s">
        <v>79</v>
      </c>
      <c r="AC114" s="1">
        <v>0.33333333333333331</v>
      </c>
      <c r="AD114" s="3">
        <v>0.89999997615814209</v>
      </c>
      <c r="AE114" s="1">
        <v>1</v>
      </c>
      <c r="AF114" s="1" t="s">
        <v>79</v>
      </c>
      <c r="AG114" s="1" t="s">
        <v>79</v>
      </c>
      <c r="AH114" s="4"/>
      <c r="AI114" s="1">
        <v>0.5</v>
      </c>
      <c r="AJ114" s="1"/>
      <c r="AK114" s="1"/>
      <c r="AL114" s="1">
        <v>2</v>
      </c>
      <c r="AM114" s="1">
        <v>1</v>
      </c>
      <c r="AN114" s="1"/>
      <c r="AO114" s="1"/>
      <c r="AP114" s="1" t="s">
        <v>79</v>
      </c>
      <c r="AQ114" s="1" t="s">
        <v>79</v>
      </c>
      <c r="AR114" s="2"/>
    </row>
    <row r="115" spans="2:44" ht="18" customHeight="1">
      <c r="B115" s="17"/>
      <c r="C115" s="1" t="s">
        <v>1</v>
      </c>
      <c r="D115" s="1" t="s">
        <v>1</v>
      </c>
      <c r="E115" s="1">
        <v>1</v>
      </c>
      <c r="F115" s="1">
        <v>2</v>
      </c>
      <c r="G115" s="1">
        <v>2</v>
      </c>
      <c r="H115" s="1">
        <v>1</v>
      </c>
      <c r="I115" s="1">
        <v>1</v>
      </c>
      <c r="J115" s="1">
        <v>3</v>
      </c>
      <c r="K115" s="8" t="str">
        <f>CustomFormatWbsIdx(B115,E115,F115,G115,H115,I115,J115)</f>
        <v>001.002.002.001.001.003</v>
      </c>
      <c r="L115" s="8">
        <v>1</v>
      </c>
      <c r="M115" s="8">
        <f>CustomFuncGetLevel(E115,F115,G115,H115,I115)</f>
        <v>5</v>
      </c>
      <c r="N115" s="8" t="b">
        <f>AND(J115&lt;&gt;"",ISNUMBER(J115))</f>
        <v>1</v>
      </c>
      <c r="O115" s="8" t="b">
        <f>NOT(OR(AB115="削除",AB115="移管済",AB115="棚上げ",AB115="却下"))</f>
        <v>1</v>
      </c>
      <c r="P115" s="8" t="b">
        <v>1</v>
      </c>
      <c r="Q115" s="8" t="b">
        <v>0</v>
      </c>
      <c r="R115" s="8" t="str">
        <f>CustomFormatWbsId(B115,E115,F115,G115,H115,I115,J115)</f>
        <v>1.2.2.1.1.T3</v>
      </c>
      <c r="S115" s="2"/>
      <c r="T115" s="2"/>
      <c r="U115" s="2"/>
      <c r="V115" s="2"/>
      <c r="W115" s="2"/>
      <c r="X115" s="2"/>
      <c r="Y115" s="2"/>
      <c r="Z115" s="7">
        <v>1</v>
      </c>
      <c r="AA115" s="7">
        <v>0</v>
      </c>
      <c r="AB115" s="1" t="s">
        <v>79</v>
      </c>
      <c r="AC115" s="1">
        <v>1</v>
      </c>
      <c r="AD115" s="3">
        <v>0.80000001192092896</v>
      </c>
      <c r="AE115" s="1">
        <v>3</v>
      </c>
      <c r="AF115" s="1" t="s">
        <v>79</v>
      </c>
      <c r="AG115" s="1" t="s">
        <v>79</v>
      </c>
      <c r="AH115" s="4"/>
      <c r="AI115" s="1">
        <v>1</v>
      </c>
      <c r="AJ115" s="1"/>
      <c r="AK115" s="1"/>
      <c r="AL115" s="1">
        <v>0</v>
      </c>
      <c r="AM115" s="1">
        <v>1</v>
      </c>
      <c r="AN115" s="1"/>
      <c r="AO115" s="1"/>
      <c r="AP115" s="1" t="s">
        <v>79</v>
      </c>
      <c r="AQ115" s="1" t="s">
        <v>79</v>
      </c>
      <c r="AR115" s="2"/>
    </row>
    <row r="116" spans="2:44" ht="18" customHeight="1">
      <c r="B116" s="17"/>
      <c r="C116" s="1" t="s">
        <v>1</v>
      </c>
      <c r="D116" s="1" t="s">
        <v>1</v>
      </c>
      <c r="E116" s="1">
        <v>1</v>
      </c>
      <c r="F116" s="1">
        <v>2</v>
      </c>
      <c r="G116" s="1">
        <v>2</v>
      </c>
      <c r="H116" s="1">
        <v>1</v>
      </c>
      <c r="I116" s="1">
        <v>2</v>
      </c>
      <c r="J116" s="1"/>
      <c r="K116" s="8" t="str">
        <f>CustomFormatWbsIdx(B116,E116,F116,G116,H116,I116,J116)</f>
        <v>001.002.002.001.002.---</v>
      </c>
      <c r="L116" s="8">
        <v>1</v>
      </c>
      <c r="M116" s="8">
        <f>CustomFuncGetLevel(E116,F116,G116,H116,I116)</f>
        <v>5</v>
      </c>
      <c r="N116" s="8" t="b">
        <f>AND(J116&lt;&gt;"",ISNUMBER(J116))</f>
        <v>0</v>
      </c>
      <c r="O116" s="8" t="b">
        <f>NOT(OR(AB116="削除",AB116="移管済",AB116="棚上げ",AB116="却下"))</f>
        <v>1</v>
      </c>
      <c r="P116" s="8" t="b">
        <v>1</v>
      </c>
      <c r="Q116" s="8" t="b">
        <v>1</v>
      </c>
      <c r="R116" s="8" t="str">
        <f>CustomFormatWbsId(B116,E116,F116,G116,H116,I116,J116)</f>
        <v>1.2.2.1.2</v>
      </c>
      <c r="S116" s="2"/>
      <c r="T116" s="2"/>
      <c r="U116" s="2"/>
      <c r="V116" s="2"/>
      <c r="W116" s="2"/>
      <c r="X116" s="2"/>
      <c r="Y116" s="2"/>
      <c r="Z116" s="7">
        <v>3</v>
      </c>
      <c r="AA116" s="7">
        <v>0</v>
      </c>
      <c r="AB116" s="1" t="s">
        <v>79</v>
      </c>
      <c r="AC116" s="1">
        <v>0.48611111111111116</v>
      </c>
      <c r="AD116" s="3">
        <v>0.25714286629642757</v>
      </c>
      <c r="AE116" s="1">
        <v>1</v>
      </c>
      <c r="AF116" s="1" t="s">
        <v>79</v>
      </c>
      <c r="AG116" s="1" t="s">
        <v>79</v>
      </c>
      <c r="AH116" s="4"/>
      <c r="AI116" s="1">
        <v>4.5</v>
      </c>
      <c r="AJ116" s="1"/>
      <c r="AK116" s="1"/>
      <c r="AL116" s="1">
        <v>4</v>
      </c>
      <c r="AM116" s="1">
        <v>5</v>
      </c>
      <c r="AN116" s="1"/>
      <c r="AO116" s="1"/>
      <c r="AP116" s="1" t="s">
        <v>79</v>
      </c>
      <c r="AQ116" s="1" t="s">
        <v>79</v>
      </c>
      <c r="AR116" s="2"/>
    </row>
    <row r="117" spans="2:44" ht="18" customHeight="1">
      <c r="B117" s="17"/>
      <c r="C117" s="1" t="s">
        <v>1</v>
      </c>
      <c r="D117" s="1" t="s">
        <v>1</v>
      </c>
      <c r="E117" s="1">
        <v>1</v>
      </c>
      <c r="F117" s="1">
        <v>2</v>
      </c>
      <c r="G117" s="1">
        <v>2</v>
      </c>
      <c r="H117" s="1">
        <v>1</v>
      </c>
      <c r="I117" s="1">
        <v>2</v>
      </c>
      <c r="J117" s="1">
        <v>1</v>
      </c>
      <c r="K117" s="8" t="str">
        <f>CustomFormatWbsIdx(B117,E117,F117,G117,H117,I117,J117)</f>
        <v>001.002.002.001.002.001</v>
      </c>
      <c r="L117" s="8">
        <v>1</v>
      </c>
      <c r="M117" s="8">
        <f>CustomFuncGetLevel(E117,F117,G117,H117,I117)</f>
        <v>5</v>
      </c>
      <c r="N117" s="8" t="b">
        <f>AND(J117&lt;&gt;"",ISNUMBER(J117))</f>
        <v>1</v>
      </c>
      <c r="O117" s="8" t="b">
        <f>NOT(OR(AB117="削除",AB117="移管済",AB117="棚上げ",AB117="却下"))</f>
        <v>1</v>
      </c>
      <c r="P117" s="8" t="b">
        <v>1</v>
      </c>
      <c r="Q117" s="8" t="b">
        <v>0</v>
      </c>
      <c r="R117" s="8" t="str">
        <f>CustomFormatWbsId(B117,E117,F117,G117,H117,I117,J117)</f>
        <v>1.2.2.1.2.T1</v>
      </c>
      <c r="S117" s="2"/>
      <c r="T117" s="2"/>
      <c r="U117" s="2"/>
      <c r="V117" s="2"/>
      <c r="W117" s="2"/>
      <c r="X117" s="2" t="s">
        <v>71</v>
      </c>
      <c r="Y117" s="2"/>
      <c r="Z117" s="7">
        <v>1</v>
      </c>
      <c r="AA117" s="7">
        <v>0</v>
      </c>
      <c r="AB117" s="1" t="s">
        <v>79</v>
      </c>
      <c r="AC117" s="1">
        <v>0</v>
      </c>
      <c r="AD117" s="3">
        <v>0.30000001192092896</v>
      </c>
      <c r="AE117" s="1">
        <v>3</v>
      </c>
      <c r="AF117" s="1" t="s">
        <v>79</v>
      </c>
      <c r="AG117" s="1" t="s">
        <v>79</v>
      </c>
      <c r="AH117" s="4"/>
      <c r="AI117" s="1">
        <v>0.5</v>
      </c>
      <c r="AJ117" s="1"/>
      <c r="AK117" s="1"/>
      <c r="AL117" s="1">
        <v>2</v>
      </c>
      <c r="AM117" s="1">
        <v>0</v>
      </c>
      <c r="AN117" s="1"/>
      <c r="AO117" s="1"/>
      <c r="AP117" s="1" t="s">
        <v>79</v>
      </c>
      <c r="AQ117" s="1" t="s">
        <v>79</v>
      </c>
      <c r="AR117" s="2"/>
    </row>
    <row r="118" spans="2:44" ht="18" customHeight="1">
      <c r="B118" s="17"/>
      <c r="C118" s="1" t="s">
        <v>1</v>
      </c>
      <c r="D118" s="1" t="s">
        <v>1</v>
      </c>
      <c r="E118" s="1">
        <v>1</v>
      </c>
      <c r="F118" s="1">
        <v>2</v>
      </c>
      <c r="G118" s="1">
        <v>2</v>
      </c>
      <c r="H118" s="1">
        <v>1</v>
      </c>
      <c r="I118" s="1">
        <v>2</v>
      </c>
      <c r="J118" s="1">
        <v>2</v>
      </c>
      <c r="K118" s="8" t="str">
        <f>CustomFormatWbsIdx(B118,E118,F118,G118,H118,I118,J118)</f>
        <v>001.002.002.001.002.002</v>
      </c>
      <c r="L118" s="8">
        <v>1</v>
      </c>
      <c r="M118" s="8">
        <f>CustomFuncGetLevel(E118,F118,G118,H118,I118)</f>
        <v>5</v>
      </c>
      <c r="N118" s="8" t="b">
        <f>AND(J118&lt;&gt;"",ISNUMBER(J118))</f>
        <v>1</v>
      </c>
      <c r="O118" s="8" t="b">
        <f>NOT(OR(AB118="削除",AB118="移管済",AB118="棚上げ",AB118="却下"))</f>
        <v>1</v>
      </c>
      <c r="P118" s="8" t="b">
        <v>1</v>
      </c>
      <c r="Q118" s="8" t="b">
        <v>0</v>
      </c>
      <c r="R118" s="8" t="str">
        <f>CustomFormatWbsId(B118,E118,F118,G118,H118,I118,J118)</f>
        <v>1.2.2.1.2.T2</v>
      </c>
      <c r="S118" s="2"/>
      <c r="T118" s="2"/>
      <c r="U118" s="2"/>
      <c r="V118" s="2"/>
      <c r="W118" s="2"/>
      <c r="X118" s="2" t="s">
        <v>72</v>
      </c>
      <c r="Y118" s="2"/>
      <c r="Z118" s="7">
        <v>1</v>
      </c>
      <c r="AA118" s="7">
        <v>0</v>
      </c>
      <c r="AB118" s="1" t="s">
        <v>79</v>
      </c>
      <c r="AC118" s="1">
        <v>0.83333333333333337</v>
      </c>
      <c r="AD118" s="3">
        <v>0.60000002384185791</v>
      </c>
      <c r="AE118" s="1">
        <v>1</v>
      </c>
      <c r="AF118" s="1" t="s">
        <v>79</v>
      </c>
      <c r="AG118" s="1" t="s">
        <v>79</v>
      </c>
      <c r="AH118" s="4"/>
      <c r="AI118" s="1">
        <v>2.5</v>
      </c>
      <c r="AJ118" s="1"/>
      <c r="AK118" s="1"/>
      <c r="AL118" s="1">
        <v>0.5</v>
      </c>
      <c r="AM118" s="1">
        <v>2.5</v>
      </c>
      <c r="AN118" s="1"/>
      <c r="AO118" s="1"/>
      <c r="AP118" s="1" t="s">
        <v>79</v>
      </c>
      <c r="AQ118" s="1" t="s">
        <v>79</v>
      </c>
      <c r="AR118" s="2"/>
    </row>
    <row r="119" spans="2:44" ht="18" customHeight="1">
      <c r="B119" s="17"/>
      <c r="C119" s="1" t="s">
        <v>1</v>
      </c>
      <c r="D119" s="1" t="s">
        <v>1</v>
      </c>
      <c r="E119" s="1">
        <v>1</v>
      </c>
      <c r="F119" s="1">
        <v>2</v>
      </c>
      <c r="G119" s="1">
        <v>2</v>
      </c>
      <c r="H119" s="1">
        <v>1</v>
      </c>
      <c r="I119" s="1">
        <v>2</v>
      </c>
      <c r="J119" s="1">
        <v>3</v>
      </c>
      <c r="K119" s="8" t="str">
        <f>CustomFormatWbsIdx(B119,E119,F119,G119,H119,I119,J119)</f>
        <v>001.002.002.001.002.003</v>
      </c>
      <c r="L119" s="8">
        <v>1</v>
      </c>
      <c r="M119" s="8">
        <f>CustomFuncGetLevel(E119,F119,G119,H119,I119)</f>
        <v>5</v>
      </c>
      <c r="N119" s="8" t="b">
        <f>AND(J119&lt;&gt;"",ISNUMBER(J119))</f>
        <v>1</v>
      </c>
      <c r="O119" s="8" t="b">
        <f>NOT(OR(AB119="削除",AB119="移管済",AB119="棚上げ",AB119="却下"))</f>
        <v>1</v>
      </c>
      <c r="P119" s="8" t="b">
        <v>1</v>
      </c>
      <c r="Q119" s="8" t="b">
        <v>0</v>
      </c>
      <c r="R119" s="8" t="str">
        <f>CustomFormatWbsId(B119,E119,F119,G119,H119,I119,J119)</f>
        <v>1.2.2.1.2.T3</v>
      </c>
      <c r="S119" s="2"/>
      <c r="T119" s="2"/>
      <c r="U119" s="2"/>
      <c r="V119" s="2"/>
      <c r="W119" s="2"/>
      <c r="X119" s="2"/>
      <c r="Y119" s="2"/>
      <c r="Z119" s="7">
        <v>1</v>
      </c>
      <c r="AA119" s="7">
        <v>0</v>
      </c>
      <c r="AB119" s="1" t="s">
        <v>79</v>
      </c>
      <c r="AC119" s="1">
        <v>0.625</v>
      </c>
      <c r="AD119" s="3">
        <v>0.10000000149011612</v>
      </c>
      <c r="AE119" s="1">
        <v>3</v>
      </c>
      <c r="AF119" s="1" t="s">
        <v>79</v>
      </c>
      <c r="AG119" s="1" t="s">
        <v>79</v>
      </c>
      <c r="AH119" s="4"/>
      <c r="AI119" s="1">
        <v>1.5</v>
      </c>
      <c r="AJ119" s="1"/>
      <c r="AK119" s="1"/>
      <c r="AL119" s="1">
        <v>1.5</v>
      </c>
      <c r="AM119" s="1">
        <v>2.5</v>
      </c>
      <c r="AN119" s="1"/>
      <c r="AO119" s="1"/>
      <c r="AP119" s="1" t="s">
        <v>79</v>
      </c>
      <c r="AQ119" s="1" t="s">
        <v>79</v>
      </c>
      <c r="AR119" s="2"/>
    </row>
    <row r="120" spans="2:44" ht="18" customHeight="1">
      <c r="B120" s="17"/>
      <c r="C120" s="1" t="s">
        <v>1</v>
      </c>
      <c r="D120" s="1" t="s">
        <v>1</v>
      </c>
      <c r="E120" s="1">
        <v>1</v>
      </c>
      <c r="F120" s="1">
        <v>2</v>
      </c>
      <c r="G120" s="1">
        <v>2</v>
      </c>
      <c r="H120" s="1">
        <v>2</v>
      </c>
      <c r="I120" s="1"/>
      <c r="J120" s="1"/>
      <c r="K120" s="8" t="str">
        <f>CustomFormatWbsIdx(B120,E120,F120,G120,H120,I120,J120)</f>
        <v>001.002.002.002.---.---</v>
      </c>
      <c r="L120" s="8">
        <v>1</v>
      </c>
      <c r="M120" s="8">
        <f>CustomFuncGetLevel(E120,F120,G120,H120,I120)</f>
        <v>4</v>
      </c>
      <c r="N120" s="8" t="b">
        <f>AND(J120&lt;&gt;"",ISNUMBER(J120))</f>
        <v>0</v>
      </c>
      <c r="O120" s="8" t="b">
        <f>NOT(OR(AB120="削除",AB120="移管済",AB120="棚上げ",AB120="却下"))</f>
        <v>1</v>
      </c>
      <c r="P120" s="8" t="b">
        <v>1</v>
      </c>
      <c r="Q120" s="8" t="b">
        <v>1</v>
      </c>
      <c r="R120" s="8" t="str">
        <f>CustomFormatWbsId(B120,E120,F120,G120,H120,I120,J120)</f>
        <v>1.2.2.2</v>
      </c>
      <c r="S120" s="2"/>
      <c r="T120" s="2"/>
      <c r="U120" s="2"/>
      <c r="V120" s="2"/>
      <c r="W120" s="2"/>
      <c r="X120" s="2"/>
      <c r="Y120" s="2"/>
      <c r="Z120" s="7">
        <v>9</v>
      </c>
      <c r="AA120" s="7">
        <v>1</v>
      </c>
      <c r="AB120" s="1" t="s">
        <v>79</v>
      </c>
      <c r="AC120" s="1">
        <v>0.76428571428571435</v>
      </c>
      <c r="AD120" s="3">
        <v>0.49100000247359271</v>
      </c>
      <c r="AE120" s="1">
        <v>1</v>
      </c>
      <c r="AF120" s="1" t="s">
        <v>79</v>
      </c>
      <c r="AG120" s="1" t="s">
        <v>79</v>
      </c>
      <c r="AH120" s="4"/>
      <c r="AI120" s="1">
        <v>11.5</v>
      </c>
      <c r="AJ120" s="1"/>
      <c r="AK120" s="1"/>
      <c r="AL120" s="1">
        <v>8</v>
      </c>
      <c r="AM120" s="1">
        <v>16.5</v>
      </c>
      <c r="AN120" s="1"/>
      <c r="AO120" s="1"/>
      <c r="AP120" s="1" t="s">
        <v>79</v>
      </c>
      <c r="AQ120" s="1" t="s">
        <v>79</v>
      </c>
      <c r="AR120" s="2"/>
    </row>
    <row r="121" spans="2:44" ht="18" customHeight="1">
      <c r="B121" s="17"/>
      <c r="C121" s="1" t="s">
        <v>1</v>
      </c>
      <c r="D121" s="1" t="s">
        <v>1</v>
      </c>
      <c r="E121" s="1">
        <v>1</v>
      </c>
      <c r="F121" s="1">
        <v>2</v>
      </c>
      <c r="G121" s="1">
        <v>2</v>
      </c>
      <c r="H121" s="1">
        <v>2</v>
      </c>
      <c r="I121" s="1"/>
      <c r="J121" s="1">
        <v>1</v>
      </c>
      <c r="K121" s="8" t="str">
        <f>CustomFormatWbsIdx(B121,E121,F121,G121,H121,I121,J121)</f>
        <v>001.002.002.002.---.001</v>
      </c>
      <c r="L121" s="8">
        <v>1</v>
      </c>
      <c r="M121" s="8">
        <f>CustomFuncGetLevel(E121,F121,G121,H121,I121)</f>
        <v>4</v>
      </c>
      <c r="N121" s="8" t="b">
        <f>AND(J121&lt;&gt;"",ISNUMBER(J121))</f>
        <v>1</v>
      </c>
      <c r="O121" s="8" t="b">
        <f>NOT(OR(AB121="削除",AB121="移管済",AB121="棚上げ",AB121="却下"))</f>
        <v>1</v>
      </c>
      <c r="P121" s="8" t="b">
        <v>1</v>
      </c>
      <c r="Q121" s="8" t="b">
        <v>0</v>
      </c>
      <c r="R121" s="8" t="str">
        <f>CustomFormatWbsId(B121,E121,F121,G121,H121,I121,J121)</f>
        <v>1.2.2.2.T1</v>
      </c>
      <c r="S121" s="2"/>
      <c r="T121" s="2"/>
      <c r="U121" s="2"/>
      <c r="V121" s="2"/>
      <c r="W121" s="2"/>
      <c r="X121" s="2" t="s">
        <v>67</v>
      </c>
      <c r="Y121" s="2"/>
      <c r="Z121" s="7">
        <v>1</v>
      </c>
      <c r="AA121" s="7">
        <v>1</v>
      </c>
      <c r="AB121" s="1" t="s">
        <v>32</v>
      </c>
      <c r="AC121" s="1">
        <v>1</v>
      </c>
      <c r="AD121" s="3">
        <v>1</v>
      </c>
      <c r="AE121" s="1">
        <v>1</v>
      </c>
      <c r="AF121" s="1" t="s">
        <v>79</v>
      </c>
      <c r="AG121" s="1" t="s">
        <v>79</v>
      </c>
      <c r="AH121" s="4"/>
      <c r="AI121" s="1">
        <v>0.5</v>
      </c>
      <c r="AJ121" s="1"/>
      <c r="AK121" s="1"/>
      <c r="AL121" s="1">
        <v>0</v>
      </c>
      <c r="AM121" s="1">
        <v>5</v>
      </c>
      <c r="AN121" s="1"/>
      <c r="AO121" s="1"/>
      <c r="AP121" s="1" t="s">
        <v>79</v>
      </c>
      <c r="AQ121" s="1" t="s">
        <v>79</v>
      </c>
      <c r="AR121" s="2"/>
    </row>
    <row r="122" spans="2:44" ht="18" customHeight="1">
      <c r="B122" s="17"/>
      <c r="C122" s="1" t="s">
        <v>1</v>
      </c>
      <c r="D122" s="1" t="s">
        <v>1</v>
      </c>
      <c r="E122" s="1">
        <v>1</v>
      </c>
      <c r="F122" s="1">
        <v>2</v>
      </c>
      <c r="G122" s="1">
        <v>2</v>
      </c>
      <c r="H122" s="1">
        <v>2</v>
      </c>
      <c r="I122" s="1"/>
      <c r="J122" s="1">
        <v>2</v>
      </c>
      <c r="K122" s="8" t="str">
        <f>CustomFormatWbsIdx(B122,E122,F122,G122,H122,I122,J122)</f>
        <v>001.002.002.002.---.002</v>
      </c>
      <c r="L122" s="8">
        <v>1</v>
      </c>
      <c r="M122" s="8">
        <f>CustomFuncGetLevel(E122,F122,G122,H122,I122)</f>
        <v>4</v>
      </c>
      <c r="N122" s="8" t="b">
        <f>AND(J122&lt;&gt;"",ISNUMBER(J122))</f>
        <v>1</v>
      </c>
      <c r="O122" s="8" t="b">
        <f>NOT(OR(AB122="削除",AB122="移管済",AB122="棚上げ",AB122="却下"))</f>
        <v>1</v>
      </c>
      <c r="P122" s="8" t="b">
        <v>1</v>
      </c>
      <c r="Q122" s="8" t="b">
        <v>0</v>
      </c>
      <c r="R122" s="8" t="str">
        <f>CustomFormatWbsId(B122,E122,F122,G122,H122,I122,J122)</f>
        <v>1.2.2.2.T2</v>
      </c>
      <c r="S122" s="2"/>
      <c r="T122" s="2"/>
      <c r="U122" s="2"/>
      <c r="V122" s="2"/>
      <c r="W122" s="2"/>
      <c r="X122" s="2" t="s">
        <v>68</v>
      </c>
      <c r="Y122" s="2"/>
      <c r="Z122" s="7">
        <v>1</v>
      </c>
      <c r="AA122" s="7">
        <v>0</v>
      </c>
      <c r="AB122" s="1" t="s">
        <v>84</v>
      </c>
      <c r="AC122" s="1">
        <v>0.66666666666666663</v>
      </c>
      <c r="AD122" s="3">
        <v>0.40000000596046448</v>
      </c>
      <c r="AE122" s="1">
        <v>1</v>
      </c>
      <c r="AF122" s="1" t="s">
        <v>79</v>
      </c>
      <c r="AG122" s="1" t="s">
        <v>79</v>
      </c>
      <c r="AH122" s="4"/>
      <c r="AI122" s="1">
        <v>2</v>
      </c>
      <c r="AJ122" s="1"/>
      <c r="AK122" s="1"/>
      <c r="AL122" s="1">
        <v>0.5</v>
      </c>
      <c r="AM122" s="1">
        <v>1</v>
      </c>
      <c r="AN122" s="1"/>
      <c r="AO122" s="1"/>
      <c r="AP122" s="1" t="s">
        <v>79</v>
      </c>
      <c r="AQ122" s="1" t="s">
        <v>79</v>
      </c>
      <c r="AR122" s="2"/>
    </row>
    <row r="123" spans="2:44" ht="18" customHeight="1">
      <c r="B123" s="17"/>
      <c r="C123" s="1" t="s">
        <v>1</v>
      </c>
      <c r="D123" s="1" t="s">
        <v>1</v>
      </c>
      <c r="E123" s="1">
        <v>1</v>
      </c>
      <c r="F123" s="1">
        <v>2</v>
      </c>
      <c r="G123" s="1">
        <v>2</v>
      </c>
      <c r="H123" s="1">
        <v>2</v>
      </c>
      <c r="I123" s="1"/>
      <c r="J123" s="1">
        <v>3</v>
      </c>
      <c r="K123" s="8" t="str">
        <f>CustomFormatWbsIdx(B123,E123,F123,G123,H123,I123,J123)</f>
        <v>001.002.002.002.---.003</v>
      </c>
      <c r="L123" s="8">
        <v>1</v>
      </c>
      <c r="M123" s="8">
        <f>CustomFuncGetLevel(E123,F123,G123,H123,I123)</f>
        <v>4</v>
      </c>
      <c r="N123" s="8" t="b">
        <f>AND(J123&lt;&gt;"",ISNUMBER(J123))</f>
        <v>1</v>
      </c>
      <c r="O123" s="8" t="b">
        <f>NOT(OR(AB123="削除",AB123="移管済",AB123="棚上げ",AB123="却下"))</f>
        <v>1</v>
      </c>
      <c r="P123" s="8" t="b">
        <v>1</v>
      </c>
      <c r="Q123" s="8" t="b">
        <v>0</v>
      </c>
      <c r="R123" s="8" t="str">
        <f>CustomFormatWbsId(B123,E123,F123,G123,H123,I123,J123)</f>
        <v>1.2.2.2.T3</v>
      </c>
      <c r="S123" s="2"/>
      <c r="T123" s="2"/>
      <c r="U123" s="2"/>
      <c r="V123" s="2"/>
      <c r="W123" s="2"/>
      <c r="X123" s="2" t="s">
        <v>69</v>
      </c>
      <c r="Y123" s="2"/>
      <c r="Z123" s="7">
        <v>1</v>
      </c>
      <c r="AA123" s="7">
        <v>0</v>
      </c>
      <c r="AB123" s="1" t="s">
        <v>79</v>
      </c>
      <c r="AC123" s="1">
        <v>0.75</v>
      </c>
      <c r="AD123" s="3">
        <v>0.40000000596046448</v>
      </c>
      <c r="AE123" s="1">
        <v>1</v>
      </c>
      <c r="AF123" s="1" t="s">
        <v>79</v>
      </c>
      <c r="AG123" s="1" t="s">
        <v>79</v>
      </c>
      <c r="AH123" s="4"/>
      <c r="AI123" s="1">
        <v>1.5</v>
      </c>
      <c r="AJ123" s="1"/>
      <c r="AK123" s="1"/>
      <c r="AL123" s="1">
        <v>0.5</v>
      </c>
      <c r="AM123" s="1">
        <v>1.5</v>
      </c>
      <c r="AN123" s="1"/>
      <c r="AO123" s="1"/>
      <c r="AP123" s="1" t="s">
        <v>79</v>
      </c>
      <c r="AQ123" s="1" t="s">
        <v>79</v>
      </c>
      <c r="AR123" s="2"/>
    </row>
    <row r="124" spans="2:44" ht="18" customHeight="1">
      <c r="B124" s="17"/>
      <c r="C124" s="1" t="s">
        <v>1</v>
      </c>
      <c r="D124" s="1" t="s">
        <v>1</v>
      </c>
      <c r="E124" s="1">
        <v>1</v>
      </c>
      <c r="F124" s="1">
        <v>2</v>
      </c>
      <c r="G124" s="1">
        <v>2</v>
      </c>
      <c r="H124" s="1">
        <v>2</v>
      </c>
      <c r="I124" s="1">
        <v>1</v>
      </c>
      <c r="J124" s="1"/>
      <c r="K124" s="8" t="str">
        <f>CustomFormatWbsIdx(B124,E124,F124,G124,H124,I124,J124)</f>
        <v>001.002.002.002.001.---</v>
      </c>
      <c r="L124" s="8">
        <v>1</v>
      </c>
      <c r="M124" s="8">
        <f>CustomFuncGetLevel(E124,F124,G124,H124,I124)</f>
        <v>5</v>
      </c>
      <c r="N124" s="8" t="b">
        <f>AND(J124&lt;&gt;"",ISNUMBER(J124))</f>
        <v>0</v>
      </c>
      <c r="O124" s="8" t="b">
        <f>NOT(OR(AB124="削除",AB124="移管済",AB124="棚上げ",AB124="却下"))</f>
        <v>1</v>
      </c>
      <c r="P124" s="8" t="b">
        <v>1</v>
      </c>
      <c r="Q124" s="8" t="b">
        <v>1</v>
      </c>
      <c r="R124" s="8" t="str">
        <f>CustomFormatWbsId(B124,E124,F124,G124,H124,I124,J124)</f>
        <v>1.2.2.2.1</v>
      </c>
      <c r="S124" s="2"/>
      <c r="T124" s="2"/>
      <c r="U124" s="2"/>
      <c r="V124" s="2"/>
      <c r="W124" s="2" t="s">
        <v>70</v>
      </c>
      <c r="X124" s="2"/>
      <c r="Y124" s="2"/>
      <c r="Z124" s="7">
        <v>3</v>
      </c>
      <c r="AA124" s="7">
        <v>0</v>
      </c>
      <c r="AB124" s="1" t="s">
        <v>79</v>
      </c>
      <c r="AC124" s="1">
        <v>0.59523809523809523</v>
      </c>
      <c r="AD124" s="3">
        <v>0.47499999776482582</v>
      </c>
      <c r="AE124" s="1">
        <v>1</v>
      </c>
      <c r="AF124" s="1" t="s">
        <v>79</v>
      </c>
      <c r="AG124" s="1" t="s">
        <v>79</v>
      </c>
      <c r="AH124" s="4"/>
      <c r="AI124" s="1">
        <v>5</v>
      </c>
      <c r="AJ124" s="1"/>
      <c r="AK124" s="1"/>
      <c r="AL124" s="1">
        <v>5</v>
      </c>
      <c r="AM124" s="1">
        <v>5</v>
      </c>
      <c r="AN124" s="1"/>
      <c r="AO124" s="1"/>
      <c r="AP124" s="1" t="s">
        <v>79</v>
      </c>
      <c r="AQ124" s="1" t="s">
        <v>79</v>
      </c>
      <c r="AR124" s="2"/>
    </row>
    <row r="125" spans="2:44" ht="18" customHeight="1">
      <c r="B125" s="17"/>
      <c r="C125" s="1" t="s">
        <v>1</v>
      </c>
      <c r="D125" s="1" t="s">
        <v>1</v>
      </c>
      <c r="E125" s="1">
        <v>1</v>
      </c>
      <c r="F125" s="1">
        <v>2</v>
      </c>
      <c r="G125" s="1">
        <v>2</v>
      </c>
      <c r="H125" s="1">
        <v>2</v>
      </c>
      <c r="I125" s="1">
        <v>1</v>
      </c>
      <c r="J125" s="1">
        <v>1</v>
      </c>
      <c r="K125" s="8" t="str">
        <f>CustomFormatWbsIdx(B125,E125,F125,G125,H125,I125,J125)</f>
        <v>001.002.002.002.001.001</v>
      </c>
      <c r="L125" s="8">
        <v>1</v>
      </c>
      <c r="M125" s="8">
        <f>CustomFuncGetLevel(E125,F125,G125,H125,I125)</f>
        <v>5</v>
      </c>
      <c r="N125" s="8" t="b">
        <f>AND(J125&lt;&gt;"",ISNUMBER(J125))</f>
        <v>1</v>
      </c>
      <c r="O125" s="8" t="b">
        <f>NOT(OR(AB125="削除",AB125="移管済",AB125="棚上げ",AB125="却下"))</f>
        <v>1</v>
      </c>
      <c r="P125" s="8" t="b">
        <v>1</v>
      </c>
      <c r="Q125" s="8" t="b">
        <v>0</v>
      </c>
      <c r="R125" s="8" t="str">
        <f>CustomFormatWbsId(B125,E125,F125,G125,H125,I125,J125)</f>
        <v>1.2.2.2.1.T1</v>
      </c>
      <c r="S125" s="2"/>
      <c r="T125" s="2"/>
      <c r="U125" s="2"/>
      <c r="V125" s="2"/>
      <c r="W125" s="2"/>
      <c r="X125" s="2" t="s">
        <v>71</v>
      </c>
      <c r="Y125" s="2"/>
      <c r="Z125" s="7">
        <v>1</v>
      </c>
      <c r="AA125" s="7">
        <v>0</v>
      </c>
      <c r="AB125" s="1" t="s">
        <v>79</v>
      </c>
      <c r="AC125" s="1">
        <v>1</v>
      </c>
      <c r="AD125" s="3">
        <v>0.20000000298023224</v>
      </c>
      <c r="AE125" s="1">
        <v>1</v>
      </c>
      <c r="AF125" s="1" t="s">
        <v>79</v>
      </c>
      <c r="AG125" s="1" t="s">
        <v>79</v>
      </c>
      <c r="AH125" s="4"/>
      <c r="AI125" s="1">
        <v>2.5</v>
      </c>
      <c r="AJ125" s="1"/>
      <c r="AK125" s="1"/>
      <c r="AL125" s="1">
        <v>0</v>
      </c>
      <c r="AM125" s="1">
        <v>1.5</v>
      </c>
      <c r="AN125" s="1"/>
      <c r="AO125" s="1"/>
      <c r="AP125" s="1" t="s">
        <v>79</v>
      </c>
      <c r="AQ125" s="1" t="s">
        <v>79</v>
      </c>
      <c r="AR125" s="2"/>
    </row>
    <row r="126" spans="2:44" ht="18" customHeight="1">
      <c r="B126" s="17"/>
      <c r="C126" s="1" t="s">
        <v>1</v>
      </c>
      <c r="D126" s="1" t="s">
        <v>1</v>
      </c>
      <c r="E126" s="1">
        <v>1</v>
      </c>
      <c r="F126" s="1">
        <v>2</v>
      </c>
      <c r="G126" s="1">
        <v>2</v>
      </c>
      <c r="H126" s="1">
        <v>2</v>
      </c>
      <c r="I126" s="1">
        <v>1</v>
      </c>
      <c r="J126" s="1">
        <v>2</v>
      </c>
      <c r="K126" s="8" t="str">
        <f>CustomFormatWbsIdx(B126,E126,F126,G126,H126,I126,J126)</f>
        <v>001.002.002.002.001.002</v>
      </c>
      <c r="L126" s="8">
        <v>1</v>
      </c>
      <c r="M126" s="8">
        <f>CustomFuncGetLevel(E126,F126,G126,H126,I126)</f>
        <v>5</v>
      </c>
      <c r="N126" s="8" t="b">
        <f>AND(J126&lt;&gt;"",ISNUMBER(J126))</f>
        <v>1</v>
      </c>
      <c r="O126" s="8" t="b">
        <f>NOT(OR(AB126="削除",AB126="移管済",AB126="棚上げ",AB126="却下"))</f>
        <v>1</v>
      </c>
      <c r="P126" s="8" t="b">
        <v>1</v>
      </c>
      <c r="Q126" s="8" t="b">
        <v>0</v>
      </c>
      <c r="R126" s="8" t="str">
        <f>CustomFormatWbsId(B126,E126,F126,G126,H126,I126,J126)</f>
        <v>1.2.2.2.1.T2</v>
      </c>
      <c r="S126" s="2"/>
      <c r="T126" s="2"/>
      <c r="U126" s="2"/>
      <c r="V126" s="2"/>
      <c r="W126" s="2"/>
      <c r="X126" s="2" t="s">
        <v>72</v>
      </c>
      <c r="Y126" s="2"/>
      <c r="Z126" s="7">
        <v>1</v>
      </c>
      <c r="AA126" s="7">
        <v>0</v>
      </c>
      <c r="AB126" s="1" t="s">
        <v>79</v>
      </c>
      <c r="AC126" s="1">
        <v>0.5</v>
      </c>
      <c r="AD126" s="3">
        <v>0.89999997615814209</v>
      </c>
      <c r="AE126" s="1">
        <v>1</v>
      </c>
      <c r="AF126" s="1" t="s">
        <v>79</v>
      </c>
      <c r="AG126" s="1" t="s">
        <v>79</v>
      </c>
      <c r="AH126" s="4"/>
      <c r="AI126" s="1">
        <v>0.5</v>
      </c>
      <c r="AJ126" s="1"/>
      <c r="AK126" s="1"/>
      <c r="AL126" s="1">
        <v>2.5</v>
      </c>
      <c r="AM126" s="1">
        <v>2.5</v>
      </c>
      <c r="AN126" s="1"/>
      <c r="AO126" s="1"/>
      <c r="AP126" s="1" t="s">
        <v>79</v>
      </c>
      <c r="AQ126" s="1" t="s">
        <v>79</v>
      </c>
      <c r="AR126" s="2"/>
    </row>
    <row r="127" spans="2:44" ht="18" customHeight="1">
      <c r="B127" s="17"/>
      <c r="C127" s="1" t="s">
        <v>1</v>
      </c>
      <c r="D127" s="1" t="s">
        <v>1</v>
      </c>
      <c r="E127" s="1">
        <v>1</v>
      </c>
      <c r="F127" s="1">
        <v>2</v>
      </c>
      <c r="G127" s="1">
        <v>2</v>
      </c>
      <c r="H127" s="1">
        <v>2</v>
      </c>
      <c r="I127" s="1">
        <v>1</v>
      </c>
      <c r="J127" s="1">
        <v>3</v>
      </c>
      <c r="K127" s="8" t="str">
        <f>CustomFormatWbsIdx(B127,E127,F127,G127,H127,I127,J127)</f>
        <v>001.002.002.002.001.003</v>
      </c>
      <c r="L127" s="8">
        <v>1</v>
      </c>
      <c r="M127" s="8">
        <f>CustomFuncGetLevel(E127,F127,G127,H127,I127)</f>
        <v>5</v>
      </c>
      <c r="N127" s="8" t="b">
        <f>AND(J127&lt;&gt;"",ISNUMBER(J127))</f>
        <v>1</v>
      </c>
      <c r="O127" s="8" t="b">
        <f>NOT(OR(AB127="削除",AB127="移管済",AB127="棚上げ",AB127="却下"))</f>
        <v>1</v>
      </c>
      <c r="P127" s="8" t="b">
        <v>1</v>
      </c>
      <c r="Q127" s="8" t="b">
        <v>0</v>
      </c>
      <c r="R127" s="8" t="str">
        <f>CustomFormatWbsId(B127,E127,F127,G127,H127,I127,J127)</f>
        <v>1.2.2.2.1.T3</v>
      </c>
      <c r="S127" s="2"/>
      <c r="T127" s="2"/>
      <c r="U127" s="2"/>
      <c r="V127" s="2"/>
      <c r="W127" s="2"/>
      <c r="X127" s="2"/>
      <c r="Y127" s="2"/>
      <c r="Z127" s="7">
        <v>1</v>
      </c>
      <c r="AA127" s="7">
        <v>0</v>
      </c>
      <c r="AB127" s="1" t="s">
        <v>79</v>
      </c>
      <c r="AC127" s="1">
        <v>0.2857142857142857</v>
      </c>
      <c r="AD127" s="3">
        <v>0.40000000596046448</v>
      </c>
      <c r="AE127" s="1">
        <v>2</v>
      </c>
      <c r="AF127" s="1" t="s">
        <v>79</v>
      </c>
      <c r="AG127" s="1" t="s">
        <v>79</v>
      </c>
      <c r="AH127" s="4"/>
      <c r="AI127" s="1">
        <v>2</v>
      </c>
      <c r="AJ127" s="1"/>
      <c r="AK127" s="1"/>
      <c r="AL127" s="1">
        <v>2.5</v>
      </c>
      <c r="AM127" s="1">
        <v>1</v>
      </c>
      <c r="AN127" s="1"/>
      <c r="AO127" s="1"/>
      <c r="AP127" s="1" t="s">
        <v>79</v>
      </c>
      <c r="AQ127" s="1" t="s">
        <v>79</v>
      </c>
      <c r="AR127" s="2"/>
    </row>
    <row r="128" spans="2:44" ht="18" customHeight="1">
      <c r="B128" s="17"/>
      <c r="C128" s="1" t="s">
        <v>1</v>
      </c>
      <c r="D128" s="1" t="s">
        <v>1</v>
      </c>
      <c r="E128" s="1">
        <v>1</v>
      </c>
      <c r="F128" s="1">
        <v>2</v>
      </c>
      <c r="G128" s="1">
        <v>2</v>
      </c>
      <c r="H128" s="1">
        <v>2</v>
      </c>
      <c r="I128" s="1">
        <v>2</v>
      </c>
      <c r="J128" s="1"/>
      <c r="K128" s="8" t="str">
        <f>CustomFormatWbsIdx(B128,E128,F128,G128,H128,I128,J128)</f>
        <v>001.002.002.002.002.---</v>
      </c>
      <c r="L128" s="8">
        <v>1</v>
      </c>
      <c r="M128" s="8">
        <f>CustomFuncGetLevel(E128,F128,G128,H128,I128)</f>
        <v>5</v>
      </c>
      <c r="N128" s="8" t="b">
        <f>AND(J128&lt;&gt;"",ISNUMBER(J128))</f>
        <v>0</v>
      </c>
      <c r="O128" s="8" t="b">
        <f>NOT(OR(AB128="削除",AB128="移管済",AB128="棚上げ",AB128="却下"))</f>
        <v>1</v>
      </c>
      <c r="P128" s="8" t="b">
        <v>1</v>
      </c>
      <c r="Q128" s="8" t="b">
        <v>1</v>
      </c>
      <c r="R128" s="8" t="str">
        <f>CustomFormatWbsId(B128,E128,F128,G128,H128,I128,J128)</f>
        <v>1.2.2.2.2</v>
      </c>
      <c r="S128" s="2"/>
      <c r="T128" s="2"/>
      <c r="U128" s="2"/>
      <c r="V128" s="2"/>
      <c r="W128" s="2"/>
      <c r="X128" s="2"/>
      <c r="Y128" s="2"/>
      <c r="Z128" s="7">
        <v>3</v>
      </c>
      <c r="AA128" s="7">
        <v>0</v>
      </c>
      <c r="AB128" s="1" t="s">
        <v>79</v>
      </c>
      <c r="AC128" s="1">
        <v>0.80952380952380965</v>
      </c>
      <c r="AD128" s="3">
        <v>0.180000002682209</v>
      </c>
      <c r="AE128" s="1">
        <v>1</v>
      </c>
      <c r="AF128" s="1" t="s">
        <v>79</v>
      </c>
      <c r="AG128" s="1" t="s">
        <v>79</v>
      </c>
      <c r="AH128" s="4"/>
      <c r="AI128" s="1">
        <v>2.5</v>
      </c>
      <c r="AJ128" s="1"/>
      <c r="AK128" s="1"/>
      <c r="AL128" s="1">
        <v>2</v>
      </c>
      <c r="AM128" s="1">
        <v>4</v>
      </c>
      <c r="AN128" s="1"/>
      <c r="AO128" s="1"/>
      <c r="AP128" s="1" t="s">
        <v>79</v>
      </c>
      <c r="AQ128" s="1" t="s">
        <v>79</v>
      </c>
      <c r="AR128" s="2"/>
    </row>
    <row r="129" spans="2:44" ht="18" customHeight="1">
      <c r="B129" s="17"/>
      <c r="C129" s="1" t="s">
        <v>1</v>
      </c>
      <c r="D129" s="1" t="s">
        <v>1</v>
      </c>
      <c r="E129" s="1">
        <v>1</v>
      </c>
      <c r="F129" s="1">
        <v>2</v>
      </c>
      <c r="G129" s="1">
        <v>2</v>
      </c>
      <c r="H129" s="1">
        <v>2</v>
      </c>
      <c r="I129" s="1">
        <v>2</v>
      </c>
      <c r="J129" s="1">
        <v>1</v>
      </c>
      <c r="K129" s="8" t="str">
        <f>CustomFormatWbsIdx(B129,E129,F129,G129,H129,I129,J129)</f>
        <v>001.002.002.002.002.001</v>
      </c>
      <c r="L129" s="8">
        <v>1</v>
      </c>
      <c r="M129" s="8">
        <f>CustomFuncGetLevel(E129,F129,G129,H129,I129)</f>
        <v>5</v>
      </c>
      <c r="N129" s="8" t="b">
        <f>AND(J129&lt;&gt;"",ISNUMBER(J129))</f>
        <v>1</v>
      </c>
      <c r="O129" s="8" t="b">
        <f>NOT(OR(AB129="削除",AB129="移管済",AB129="棚上げ",AB129="却下"))</f>
        <v>1</v>
      </c>
      <c r="P129" s="8" t="b">
        <v>1</v>
      </c>
      <c r="Q129" s="8" t="b">
        <v>0</v>
      </c>
      <c r="R129" s="8" t="str">
        <f>CustomFormatWbsId(B129,E129,F129,G129,H129,I129,J129)</f>
        <v>1.2.2.2.2.T1</v>
      </c>
      <c r="S129" s="2"/>
      <c r="T129" s="2"/>
      <c r="U129" s="2"/>
      <c r="V129" s="2"/>
      <c r="W129" s="2"/>
      <c r="X129" s="2" t="s">
        <v>71</v>
      </c>
      <c r="Y129" s="2"/>
      <c r="Z129" s="7">
        <v>1</v>
      </c>
      <c r="AA129" s="7">
        <v>0</v>
      </c>
      <c r="AB129" s="1" t="s">
        <v>79</v>
      </c>
      <c r="AC129" s="1">
        <v>1</v>
      </c>
      <c r="AD129" s="3">
        <v>0.20000000298023224</v>
      </c>
      <c r="AE129" s="1">
        <v>1</v>
      </c>
      <c r="AF129" s="1" t="s">
        <v>79</v>
      </c>
      <c r="AG129" s="1" t="s">
        <v>79</v>
      </c>
      <c r="AH129" s="4"/>
      <c r="AI129" s="1">
        <v>1</v>
      </c>
      <c r="AJ129" s="1"/>
      <c r="AK129" s="1"/>
      <c r="AL129" s="1">
        <v>0</v>
      </c>
      <c r="AM129" s="1">
        <v>1.5</v>
      </c>
      <c r="AN129" s="1"/>
      <c r="AO129" s="1"/>
      <c r="AP129" s="1" t="s">
        <v>79</v>
      </c>
      <c r="AQ129" s="1" t="s">
        <v>79</v>
      </c>
      <c r="AR129" s="2"/>
    </row>
    <row r="130" spans="2:44" ht="18" customHeight="1">
      <c r="B130" s="17"/>
      <c r="C130" s="1" t="s">
        <v>1</v>
      </c>
      <c r="D130" s="1" t="s">
        <v>1</v>
      </c>
      <c r="E130" s="1">
        <v>1</v>
      </c>
      <c r="F130" s="1">
        <v>2</v>
      </c>
      <c r="G130" s="1">
        <v>2</v>
      </c>
      <c r="H130" s="1">
        <v>2</v>
      </c>
      <c r="I130" s="1">
        <v>2</v>
      </c>
      <c r="J130" s="1">
        <v>2</v>
      </c>
      <c r="K130" s="8" t="str">
        <f>CustomFormatWbsIdx(B130,E130,F130,G130,H130,I130,J130)</f>
        <v>001.002.002.002.002.002</v>
      </c>
      <c r="L130" s="8">
        <v>1</v>
      </c>
      <c r="M130" s="8">
        <f>CustomFuncGetLevel(E130,F130,G130,H130,I130)</f>
        <v>5</v>
      </c>
      <c r="N130" s="8" t="b">
        <f>AND(J130&lt;&gt;"",ISNUMBER(J130))</f>
        <v>1</v>
      </c>
      <c r="O130" s="8" t="b">
        <f>NOT(OR(AB130="削除",AB130="移管済",AB130="棚上げ",AB130="却下"))</f>
        <v>1</v>
      </c>
      <c r="P130" s="8" t="b">
        <v>1</v>
      </c>
      <c r="Q130" s="8" t="b">
        <v>0</v>
      </c>
      <c r="R130" s="8" t="str">
        <f>CustomFormatWbsId(B130,E130,F130,G130,H130,I130,J130)</f>
        <v>1.2.2.2.2.T2</v>
      </c>
      <c r="S130" s="2"/>
      <c r="T130" s="2"/>
      <c r="U130" s="2"/>
      <c r="V130" s="2"/>
      <c r="W130" s="2"/>
      <c r="X130" s="2" t="s">
        <v>72</v>
      </c>
      <c r="Y130" s="2"/>
      <c r="Z130" s="7">
        <v>1</v>
      </c>
      <c r="AA130" s="7">
        <v>0</v>
      </c>
      <c r="AB130" s="1" t="s">
        <v>79</v>
      </c>
      <c r="AC130" s="1">
        <v>0.42857142857142855</v>
      </c>
      <c r="AD130" s="3">
        <v>0.10000000149011612</v>
      </c>
      <c r="AE130" s="1">
        <v>1</v>
      </c>
      <c r="AF130" s="1" t="s">
        <v>79</v>
      </c>
      <c r="AG130" s="1" t="s">
        <v>79</v>
      </c>
      <c r="AH130" s="4"/>
      <c r="AI130" s="1">
        <v>0.5</v>
      </c>
      <c r="AJ130" s="1"/>
      <c r="AK130" s="1"/>
      <c r="AL130" s="1">
        <v>2</v>
      </c>
      <c r="AM130" s="1">
        <v>1.5</v>
      </c>
      <c r="AN130" s="1"/>
      <c r="AO130" s="1"/>
      <c r="AP130" s="1" t="s">
        <v>79</v>
      </c>
      <c r="AQ130" s="1" t="s">
        <v>79</v>
      </c>
      <c r="AR130" s="2"/>
    </row>
    <row r="131" spans="2:44" ht="18" customHeight="1">
      <c r="B131" s="17"/>
      <c r="C131" s="1" t="s">
        <v>1</v>
      </c>
      <c r="D131" s="1" t="s">
        <v>1</v>
      </c>
      <c r="E131" s="1">
        <v>1</v>
      </c>
      <c r="F131" s="1">
        <v>2</v>
      </c>
      <c r="G131" s="1">
        <v>2</v>
      </c>
      <c r="H131" s="1">
        <v>2</v>
      </c>
      <c r="I131" s="1">
        <v>2</v>
      </c>
      <c r="J131" s="1">
        <v>3</v>
      </c>
      <c r="K131" s="8" t="str">
        <f>CustomFormatWbsIdx(B131,E131,F131,G131,H131,I131,J131)</f>
        <v>001.002.002.002.002.003</v>
      </c>
      <c r="L131" s="8">
        <v>1</v>
      </c>
      <c r="M131" s="8">
        <f>CustomFuncGetLevel(E131,F131,G131,H131,I131)</f>
        <v>5</v>
      </c>
      <c r="N131" s="8" t="b">
        <f>AND(J131&lt;&gt;"",ISNUMBER(J131))</f>
        <v>1</v>
      </c>
      <c r="O131" s="8" t="b">
        <f>NOT(OR(AB131="削除",AB131="移管済",AB131="棚上げ",AB131="却下"))</f>
        <v>1</v>
      </c>
      <c r="P131" s="8" t="b">
        <v>1</v>
      </c>
      <c r="Q131" s="8" t="b">
        <v>0</v>
      </c>
      <c r="R131" s="8" t="str">
        <f>CustomFormatWbsId(B131,E131,F131,G131,H131,I131,J131)</f>
        <v>1.2.2.2.2.T3</v>
      </c>
      <c r="S131" s="2"/>
      <c r="T131" s="2"/>
      <c r="U131" s="2"/>
      <c r="V131" s="2"/>
      <c r="W131" s="2"/>
      <c r="X131" s="2"/>
      <c r="Y131" s="2"/>
      <c r="Z131" s="7">
        <v>1</v>
      </c>
      <c r="AA131" s="7">
        <v>0</v>
      </c>
      <c r="AB131" s="1" t="s">
        <v>79</v>
      </c>
      <c r="AC131" s="1">
        <v>1</v>
      </c>
      <c r="AD131" s="3">
        <v>0.20000000298023224</v>
      </c>
      <c r="AE131" s="1">
        <v>3</v>
      </c>
      <c r="AF131" s="1" t="s">
        <v>79</v>
      </c>
      <c r="AG131" s="1" t="s">
        <v>79</v>
      </c>
      <c r="AH131" s="4"/>
      <c r="AI131" s="1">
        <v>1</v>
      </c>
      <c r="AJ131" s="1"/>
      <c r="AK131" s="1"/>
      <c r="AL131" s="1">
        <v>0</v>
      </c>
      <c r="AM131" s="1">
        <v>1</v>
      </c>
      <c r="AN131" s="1"/>
      <c r="AO131" s="1"/>
      <c r="AP131" s="1" t="s">
        <v>79</v>
      </c>
      <c r="AQ131" s="1" t="s">
        <v>79</v>
      </c>
      <c r="AR131" s="2"/>
    </row>
    <row r="132" spans="2:44" ht="18" customHeight="1">
      <c r="B132" s="17"/>
      <c r="C132" s="1" t="s">
        <v>1</v>
      </c>
      <c r="D132" s="1" t="s">
        <v>1</v>
      </c>
      <c r="E132" s="1">
        <v>2</v>
      </c>
      <c r="F132" s="1"/>
      <c r="G132" s="1"/>
      <c r="H132" s="1"/>
      <c r="I132" s="1"/>
      <c r="J132" s="1"/>
      <c r="K132" s="8" t="str">
        <f>CustomFormatWbsIdx(B132,E132,F132,G132,H132,I132,J132)</f>
        <v>002.---.---.---.---.---</v>
      </c>
      <c r="L132" s="8">
        <v>1</v>
      </c>
      <c r="M132" s="8">
        <f>CustomFuncGetLevel(E132,F132,G132,H132,I132)</f>
        <v>1</v>
      </c>
      <c r="N132" s="8" t="b">
        <f>AND(J132&lt;&gt;"",ISNUMBER(J132))</f>
        <v>0</v>
      </c>
      <c r="O132" s="8" t="b">
        <f>NOT(OR(AB132="削除",AB132="移管済",AB132="棚上げ",AB132="却下"))</f>
        <v>1</v>
      </c>
      <c r="P132" s="8" t="b">
        <v>1</v>
      </c>
      <c r="Q132" s="8" t="b">
        <v>1</v>
      </c>
      <c r="R132" s="8" t="str">
        <f>CustomFormatWbsId(B132,E132,F132,G132,H132,I132,J132)</f>
        <v>2</v>
      </c>
      <c r="S132" s="2"/>
      <c r="T132" s="2"/>
      <c r="U132" s="2"/>
      <c r="V132" s="2"/>
      <c r="W132" s="2"/>
      <c r="X132" s="2"/>
      <c r="Y132" s="2"/>
      <c r="Z132" s="7">
        <v>57</v>
      </c>
      <c r="AA132" s="7">
        <v>6</v>
      </c>
      <c r="AB132" s="1" t="s">
        <v>79</v>
      </c>
      <c r="AC132" s="1">
        <v>0.42335152116402114</v>
      </c>
      <c r="AD132" s="3">
        <v>0.45370185529953905</v>
      </c>
      <c r="AE132" s="1">
        <v>1</v>
      </c>
      <c r="AF132" s="1" t="s">
        <v>79</v>
      </c>
      <c r="AG132" s="1" t="s">
        <v>79</v>
      </c>
      <c r="AH132" s="4"/>
      <c r="AI132" s="1">
        <v>65.5</v>
      </c>
      <c r="AJ132" s="1"/>
      <c r="AK132" s="1"/>
      <c r="AL132" s="1">
        <v>60.5</v>
      </c>
      <c r="AM132" s="1">
        <v>65.5</v>
      </c>
      <c r="AN132" s="1"/>
      <c r="AO132" s="1"/>
      <c r="AP132" s="1" t="s">
        <v>79</v>
      </c>
      <c r="AQ132" s="1" t="s">
        <v>79</v>
      </c>
      <c r="AR132" s="2"/>
    </row>
    <row r="133" spans="2:44" ht="18" customHeight="1">
      <c r="B133" s="17"/>
      <c r="C133" s="1" t="s">
        <v>1</v>
      </c>
      <c r="D133" s="1" t="s">
        <v>1</v>
      </c>
      <c r="E133" s="1">
        <v>2</v>
      </c>
      <c r="F133" s="1"/>
      <c r="G133" s="1"/>
      <c r="H133" s="1"/>
      <c r="I133" s="1"/>
      <c r="J133" s="1">
        <v>1</v>
      </c>
      <c r="K133" s="8" t="str">
        <f>CustomFormatWbsIdx(B133,E133,F133,G133,H133,I133,J133)</f>
        <v>002.---.---.---.---.001</v>
      </c>
      <c r="L133" s="8">
        <v>1</v>
      </c>
      <c r="M133" s="8">
        <f>CustomFuncGetLevel(E133,F133,G133,H133,I133)</f>
        <v>1</v>
      </c>
      <c r="N133" s="8" t="b">
        <f>AND(J133&lt;&gt;"",ISNUMBER(J133))</f>
        <v>1</v>
      </c>
      <c r="O133" s="8" t="b">
        <f>NOT(OR(AB133="削除",AB133="移管済",AB133="棚上げ",AB133="却下"))</f>
        <v>0</v>
      </c>
      <c r="P133" s="8" t="b">
        <v>1</v>
      </c>
      <c r="Q133" s="8" t="b">
        <v>0</v>
      </c>
      <c r="R133" s="8" t="str">
        <f>CustomFormatWbsId(B133,E133,F133,G133,H133,I133,J133)</f>
        <v>2.T1</v>
      </c>
      <c r="S133" s="2"/>
      <c r="T133" s="2"/>
      <c r="U133" s="2"/>
      <c r="V133" s="2"/>
      <c r="W133" s="2"/>
      <c r="X133" s="2" t="s">
        <v>55</v>
      </c>
      <c r="Y133" s="2"/>
      <c r="Z133" s="7">
        <v>1</v>
      </c>
      <c r="AA133" s="7">
        <v>0</v>
      </c>
      <c r="AB133" s="1" t="s">
        <v>77</v>
      </c>
      <c r="AC133" s="1">
        <v>0.2</v>
      </c>
      <c r="AD133" s="3">
        <v>0.30000001192092896</v>
      </c>
      <c r="AE133" s="1">
        <v>3</v>
      </c>
      <c r="AF133" s="1" t="s">
        <v>79</v>
      </c>
      <c r="AG133" s="1" t="s">
        <v>79</v>
      </c>
      <c r="AH133" s="4"/>
      <c r="AI133" s="1">
        <v>2.5</v>
      </c>
      <c r="AJ133" s="1"/>
      <c r="AK133" s="1"/>
      <c r="AL133" s="1">
        <v>2</v>
      </c>
      <c r="AM133" s="1">
        <v>0.5</v>
      </c>
      <c r="AN133" s="1"/>
      <c r="AO133" s="1"/>
      <c r="AP133" s="1" t="s">
        <v>79</v>
      </c>
      <c r="AQ133" s="1" t="s">
        <v>79</v>
      </c>
      <c r="AR133" s="2"/>
    </row>
    <row r="134" spans="2:44" ht="18" customHeight="1">
      <c r="B134" s="17"/>
      <c r="C134" s="1" t="s">
        <v>1</v>
      </c>
      <c r="D134" s="1" t="s">
        <v>1</v>
      </c>
      <c r="E134" s="1">
        <v>2</v>
      </c>
      <c r="F134" s="1"/>
      <c r="G134" s="1"/>
      <c r="H134" s="1"/>
      <c r="I134" s="1"/>
      <c r="J134" s="1">
        <v>2</v>
      </c>
      <c r="K134" s="8" t="str">
        <f>CustomFormatWbsIdx(B134,E134,F134,G134,H134,I134,J134)</f>
        <v>002.---.---.---.---.002</v>
      </c>
      <c r="L134" s="8">
        <v>1</v>
      </c>
      <c r="M134" s="8">
        <f>CustomFuncGetLevel(E134,F134,G134,H134,I134)</f>
        <v>1</v>
      </c>
      <c r="N134" s="8" t="b">
        <f>AND(J134&lt;&gt;"",ISNUMBER(J134))</f>
        <v>1</v>
      </c>
      <c r="O134" s="8" t="b">
        <f>NOT(OR(AB134="削除",AB134="移管済",AB134="棚上げ",AB134="却下"))</f>
        <v>0</v>
      </c>
      <c r="P134" s="8" t="b">
        <v>1</v>
      </c>
      <c r="Q134" s="8" t="b">
        <v>0</v>
      </c>
      <c r="R134" s="8" t="str">
        <f>CustomFormatWbsId(B134,E134,F134,G134,H134,I134,J134)</f>
        <v>2.T2</v>
      </c>
      <c r="S134" s="2"/>
      <c r="T134" s="2"/>
      <c r="U134" s="2"/>
      <c r="V134" s="2"/>
      <c r="W134" s="2"/>
      <c r="X134" s="2" t="s">
        <v>56</v>
      </c>
      <c r="Y134" s="2"/>
      <c r="Z134" s="7">
        <v>1</v>
      </c>
      <c r="AA134" s="7">
        <v>0</v>
      </c>
      <c r="AB134" s="1" t="s">
        <v>78</v>
      </c>
      <c r="AC134" s="1">
        <v>1</v>
      </c>
      <c r="AD134" s="3">
        <v>0.10000000149011612</v>
      </c>
      <c r="AE134" s="1">
        <v>1</v>
      </c>
      <c r="AF134" s="1" t="s">
        <v>79</v>
      </c>
      <c r="AG134" s="1" t="s">
        <v>79</v>
      </c>
      <c r="AH134" s="4"/>
      <c r="AI134" s="1">
        <v>0</v>
      </c>
      <c r="AJ134" s="1"/>
      <c r="AK134" s="1"/>
      <c r="AL134" s="1">
        <v>0</v>
      </c>
      <c r="AM134" s="1">
        <v>1</v>
      </c>
      <c r="AN134" s="1"/>
      <c r="AO134" s="1"/>
      <c r="AP134" s="1" t="s">
        <v>79</v>
      </c>
      <c r="AQ134" s="1" t="s">
        <v>79</v>
      </c>
      <c r="AR134" s="2"/>
    </row>
    <row r="135" spans="2:44" ht="18" customHeight="1">
      <c r="B135" s="17"/>
      <c r="C135" s="1" t="s">
        <v>1</v>
      </c>
      <c r="D135" s="1" t="s">
        <v>1</v>
      </c>
      <c r="E135" s="1">
        <v>2</v>
      </c>
      <c r="F135" s="1"/>
      <c r="G135" s="1"/>
      <c r="H135" s="1"/>
      <c r="I135" s="1"/>
      <c r="J135" s="1">
        <v>3</v>
      </c>
      <c r="K135" s="8" t="str">
        <f>CustomFormatWbsIdx(B135,E135,F135,G135,H135,I135,J135)</f>
        <v>002.---.---.---.---.003</v>
      </c>
      <c r="L135" s="8">
        <v>1</v>
      </c>
      <c r="M135" s="8">
        <f>CustomFuncGetLevel(E135,F135,G135,H135,I135)</f>
        <v>1</v>
      </c>
      <c r="N135" s="8" t="b">
        <f>AND(J135&lt;&gt;"",ISNUMBER(J135))</f>
        <v>1</v>
      </c>
      <c r="O135" s="8" t="b">
        <f>NOT(OR(AB135="削除",AB135="移管済",AB135="棚上げ",AB135="却下"))</f>
        <v>1</v>
      </c>
      <c r="P135" s="8" t="b">
        <v>1</v>
      </c>
      <c r="Q135" s="8" t="b">
        <v>0</v>
      </c>
      <c r="R135" s="8" t="str">
        <f>CustomFormatWbsId(B135,E135,F135,G135,H135,I135,J135)</f>
        <v>2.T3</v>
      </c>
      <c r="S135" s="2"/>
      <c r="T135" s="2"/>
      <c r="U135" s="2"/>
      <c r="V135" s="2"/>
      <c r="W135" s="2"/>
      <c r="X135" s="2" t="s">
        <v>57</v>
      </c>
      <c r="Y135" s="2"/>
      <c r="Z135" s="7">
        <v>1</v>
      </c>
      <c r="AA135" s="7">
        <v>0</v>
      </c>
      <c r="AB135" s="1" t="s">
        <v>79</v>
      </c>
      <c r="AC135" s="1">
        <v>0.375</v>
      </c>
      <c r="AD135" s="3">
        <v>0.20000000298023224</v>
      </c>
      <c r="AE135" s="1">
        <v>1</v>
      </c>
      <c r="AF135" s="1" t="s">
        <v>79</v>
      </c>
      <c r="AG135" s="1" t="s">
        <v>79</v>
      </c>
      <c r="AH135" s="4"/>
      <c r="AI135" s="1">
        <v>2.5</v>
      </c>
      <c r="AJ135" s="1"/>
      <c r="AK135" s="1"/>
      <c r="AL135" s="1">
        <v>2.5</v>
      </c>
      <c r="AM135" s="1">
        <v>1.5</v>
      </c>
      <c r="AN135" s="1"/>
      <c r="AO135" s="1"/>
      <c r="AP135" s="1" t="s">
        <v>79</v>
      </c>
      <c r="AQ135" s="1" t="s">
        <v>79</v>
      </c>
      <c r="AR135" s="2"/>
    </row>
    <row r="136" spans="2:44" ht="18" customHeight="1">
      <c r="B136" s="17"/>
      <c r="C136" s="1" t="s">
        <v>1</v>
      </c>
      <c r="D136" s="1" t="s">
        <v>1</v>
      </c>
      <c r="E136" s="1">
        <v>2</v>
      </c>
      <c r="F136" s="1">
        <v>1</v>
      </c>
      <c r="G136" s="1"/>
      <c r="H136" s="1"/>
      <c r="I136" s="1"/>
      <c r="J136" s="1"/>
      <c r="K136" s="8" t="str">
        <f>CustomFormatWbsIdx(B136,E136,F136,G136,H136,I136,J136)</f>
        <v>002.001.---.---.---.---</v>
      </c>
      <c r="L136" s="8">
        <v>1</v>
      </c>
      <c r="M136" s="8">
        <f>CustomFuncGetLevel(E136,F136,G136,H136,I136)</f>
        <v>2</v>
      </c>
      <c r="N136" s="8" t="b">
        <f>AND(J136&lt;&gt;"",ISNUMBER(J136))</f>
        <v>0</v>
      </c>
      <c r="O136" s="8" t="b">
        <f>NOT(OR(AB136="削除",AB136="移管済",AB136="棚上げ",AB136="却下"))</f>
        <v>1</v>
      </c>
      <c r="P136" s="8" t="b">
        <v>1</v>
      </c>
      <c r="Q136" s="8" t="b">
        <v>1</v>
      </c>
      <c r="R136" s="8" t="str">
        <f>CustomFormatWbsId(B136,E136,F136,G136,H136,I136,J136)</f>
        <v>2.1</v>
      </c>
      <c r="S136" s="2"/>
      <c r="T136" s="2" t="s">
        <v>58</v>
      </c>
      <c r="U136" s="2"/>
      <c r="V136" s="2"/>
      <c r="W136" s="2"/>
      <c r="X136" s="2"/>
      <c r="Y136" s="2"/>
      <c r="Z136" s="7">
        <v>42</v>
      </c>
      <c r="AA136" s="7">
        <v>4</v>
      </c>
      <c r="AB136" s="1" t="s">
        <v>79</v>
      </c>
      <c r="AC136" s="1">
        <v>0.31311011904761904</v>
      </c>
      <c r="AD136" s="3">
        <v>0.58830556275943913</v>
      </c>
      <c r="AE136" s="1">
        <v>1</v>
      </c>
      <c r="AF136" s="1" t="s">
        <v>79</v>
      </c>
      <c r="AG136" s="1" t="s">
        <v>79</v>
      </c>
      <c r="AH136" s="4"/>
      <c r="AI136" s="1">
        <v>51</v>
      </c>
      <c r="AJ136" s="1"/>
      <c r="AK136" s="1"/>
      <c r="AL136" s="1">
        <v>43.5</v>
      </c>
      <c r="AM136" s="1">
        <v>46.5</v>
      </c>
      <c r="AN136" s="1"/>
      <c r="AO136" s="1"/>
      <c r="AP136" s="1" t="s">
        <v>79</v>
      </c>
      <c r="AQ136" s="1" t="s">
        <v>79</v>
      </c>
      <c r="AR136" s="2"/>
    </row>
    <row r="137" spans="2:44" ht="18" customHeight="1">
      <c r="B137" s="17"/>
      <c r="C137" s="1" t="s">
        <v>1</v>
      </c>
      <c r="D137" s="1" t="s">
        <v>1</v>
      </c>
      <c r="E137" s="1">
        <v>2</v>
      </c>
      <c r="F137" s="1">
        <v>1</v>
      </c>
      <c r="G137" s="1"/>
      <c r="H137" s="1"/>
      <c r="I137" s="1"/>
      <c r="J137" s="1">
        <v>1</v>
      </c>
      <c r="K137" s="8" t="str">
        <f>CustomFormatWbsIdx(B137,E137,F137,G137,H137,I137,J137)</f>
        <v>002.001.---.---.---.001</v>
      </c>
      <c r="L137" s="8">
        <v>1</v>
      </c>
      <c r="M137" s="8">
        <f>CustomFuncGetLevel(E137,F137,G137,H137,I137)</f>
        <v>2</v>
      </c>
      <c r="N137" s="8" t="b">
        <f>AND(J137&lt;&gt;"",ISNUMBER(J137))</f>
        <v>1</v>
      </c>
      <c r="O137" s="8" t="b">
        <f>NOT(OR(AB137="削除",AB137="移管済",AB137="棚上げ",AB137="却下"))</f>
        <v>1</v>
      </c>
      <c r="P137" s="8" t="b">
        <v>1</v>
      </c>
      <c r="Q137" s="8" t="b">
        <v>0</v>
      </c>
      <c r="R137" s="8" t="str">
        <f>CustomFormatWbsId(B137,E137,F137,G137,H137,I137,J137)</f>
        <v>2.1.T1</v>
      </c>
      <c r="S137" s="2"/>
      <c r="T137" s="2"/>
      <c r="U137" s="2"/>
      <c r="V137" s="2"/>
      <c r="W137" s="2"/>
      <c r="X137" s="2" t="s">
        <v>59</v>
      </c>
      <c r="Y137" s="2"/>
      <c r="Z137" s="7">
        <v>1</v>
      </c>
      <c r="AA137" s="7">
        <v>0</v>
      </c>
      <c r="AB137" s="1" t="s">
        <v>80</v>
      </c>
      <c r="AC137" s="1">
        <v>0</v>
      </c>
      <c r="AD137" s="3">
        <v>0.80000001192092896</v>
      </c>
      <c r="AE137" s="1">
        <v>1</v>
      </c>
      <c r="AF137" s="1" t="s">
        <v>79</v>
      </c>
      <c r="AG137" s="1" t="s">
        <v>79</v>
      </c>
      <c r="AH137" s="4"/>
      <c r="AI137" s="1">
        <v>0</v>
      </c>
      <c r="AJ137" s="1"/>
      <c r="AK137" s="1"/>
      <c r="AL137" s="1">
        <v>0.5</v>
      </c>
      <c r="AM137" s="1">
        <v>0</v>
      </c>
      <c r="AN137" s="1"/>
      <c r="AO137" s="1"/>
      <c r="AP137" s="1" t="s">
        <v>79</v>
      </c>
      <c r="AQ137" s="1" t="s">
        <v>79</v>
      </c>
      <c r="AR137" s="2"/>
    </row>
    <row r="138" spans="2:44" ht="18" customHeight="1">
      <c r="B138" s="17"/>
      <c r="C138" s="1" t="s">
        <v>1</v>
      </c>
      <c r="D138" s="1" t="s">
        <v>1</v>
      </c>
      <c r="E138" s="1">
        <v>2</v>
      </c>
      <c r="F138" s="1">
        <v>1</v>
      </c>
      <c r="G138" s="1"/>
      <c r="H138" s="1"/>
      <c r="I138" s="1"/>
      <c r="J138" s="1">
        <v>2</v>
      </c>
      <c r="K138" s="8" t="str">
        <f>CustomFormatWbsIdx(B138,E138,F138,G138,H138,I138,J138)</f>
        <v>002.001.---.---.---.002</v>
      </c>
      <c r="L138" s="8">
        <v>1</v>
      </c>
      <c r="M138" s="8">
        <f>CustomFuncGetLevel(E138,F138,G138,H138,I138)</f>
        <v>2</v>
      </c>
      <c r="N138" s="8" t="b">
        <f>AND(J138&lt;&gt;"",ISNUMBER(J138))</f>
        <v>1</v>
      </c>
      <c r="O138" s="8" t="b">
        <f>NOT(OR(AB138="削除",AB138="移管済",AB138="棚上げ",AB138="却下"))</f>
        <v>0</v>
      </c>
      <c r="P138" s="8" t="b">
        <v>1</v>
      </c>
      <c r="Q138" s="8" t="b">
        <v>0</v>
      </c>
      <c r="R138" s="8" t="str">
        <f>CustomFormatWbsId(B138,E138,F138,G138,H138,I138,J138)</f>
        <v>2.1.T2</v>
      </c>
      <c r="S138" s="2"/>
      <c r="T138" s="2"/>
      <c r="U138" s="2"/>
      <c r="V138" s="2"/>
      <c r="W138" s="2"/>
      <c r="X138" s="2" t="s">
        <v>60</v>
      </c>
      <c r="Y138" s="2"/>
      <c r="Z138" s="7">
        <v>1</v>
      </c>
      <c r="AA138" s="7">
        <v>0</v>
      </c>
      <c r="AB138" s="1" t="s">
        <v>81</v>
      </c>
      <c r="AC138" s="1">
        <v>0.2</v>
      </c>
      <c r="AD138" s="3">
        <v>0.89999997615814209</v>
      </c>
      <c r="AE138" s="1">
        <v>1</v>
      </c>
      <c r="AF138" s="1" t="s">
        <v>79</v>
      </c>
      <c r="AG138" s="1" t="s">
        <v>79</v>
      </c>
      <c r="AH138" s="4"/>
      <c r="AI138" s="1">
        <v>2</v>
      </c>
      <c r="AJ138" s="1"/>
      <c r="AK138" s="1"/>
      <c r="AL138" s="1">
        <v>2</v>
      </c>
      <c r="AM138" s="1">
        <v>0.5</v>
      </c>
      <c r="AN138" s="1"/>
      <c r="AO138" s="1"/>
      <c r="AP138" s="1" t="s">
        <v>79</v>
      </c>
      <c r="AQ138" s="1" t="s">
        <v>79</v>
      </c>
      <c r="AR138" s="2"/>
    </row>
    <row r="139" spans="2:44" ht="18" customHeight="1">
      <c r="B139" s="17"/>
      <c r="C139" s="1" t="s">
        <v>1</v>
      </c>
      <c r="D139" s="1" t="s">
        <v>1</v>
      </c>
      <c r="E139" s="1">
        <v>2</v>
      </c>
      <c r="F139" s="1">
        <v>1</v>
      </c>
      <c r="G139" s="1"/>
      <c r="H139" s="1"/>
      <c r="I139" s="1"/>
      <c r="J139" s="1">
        <v>3</v>
      </c>
      <c r="K139" s="8" t="str">
        <f>CustomFormatWbsIdx(B139,E139,F139,G139,H139,I139,J139)</f>
        <v>002.001.---.---.---.003</v>
      </c>
      <c r="L139" s="8">
        <v>1</v>
      </c>
      <c r="M139" s="8">
        <f>CustomFuncGetLevel(E139,F139,G139,H139,I139)</f>
        <v>2</v>
      </c>
      <c r="N139" s="8" t="b">
        <f>AND(J139&lt;&gt;"",ISNUMBER(J139))</f>
        <v>1</v>
      </c>
      <c r="O139" s="8" t="b">
        <f>NOT(OR(AB139="削除",AB139="移管済",AB139="棚上げ",AB139="却下"))</f>
        <v>1</v>
      </c>
      <c r="P139" s="8" t="b">
        <v>1</v>
      </c>
      <c r="Q139" s="8" t="b">
        <v>0</v>
      </c>
      <c r="R139" s="8" t="str">
        <f>CustomFormatWbsId(B139,E139,F139,G139,H139,I139,J139)</f>
        <v>2.1.T3</v>
      </c>
      <c r="S139" s="2"/>
      <c r="T139" s="2"/>
      <c r="U139" s="2"/>
      <c r="V139" s="2"/>
      <c r="W139" s="2"/>
      <c r="X139" s="2" t="s">
        <v>61</v>
      </c>
      <c r="Y139" s="2"/>
      <c r="Z139" s="7">
        <v>1</v>
      </c>
      <c r="AA139" s="7">
        <v>0</v>
      </c>
      <c r="AB139" s="1" t="s">
        <v>79</v>
      </c>
      <c r="AC139" s="1">
        <v>0.42857142857142855</v>
      </c>
      <c r="AD139" s="3">
        <v>0.40000000596046448</v>
      </c>
      <c r="AE139" s="1">
        <v>1</v>
      </c>
      <c r="AF139" s="1" t="s">
        <v>79</v>
      </c>
      <c r="AG139" s="1" t="s">
        <v>79</v>
      </c>
      <c r="AH139" s="4"/>
      <c r="AI139" s="1">
        <v>1.5</v>
      </c>
      <c r="AJ139" s="1"/>
      <c r="AK139" s="1"/>
      <c r="AL139" s="1">
        <v>2</v>
      </c>
      <c r="AM139" s="1">
        <v>1.5</v>
      </c>
      <c r="AN139" s="1"/>
      <c r="AO139" s="1"/>
      <c r="AP139" s="1" t="s">
        <v>79</v>
      </c>
      <c r="AQ139" s="1" t="s">
        <v>79</v>
      </c>
      <c r="AR139" s="2"/>
    </row>
    <row r="140" spans="2:44" ht="18" customHeight="1">
      <c r="B140" s="17"/>
      <c r="C140" s="1" t="s">
        <v>1</v>
      </c>
      <c r="D140" s="1" t="s">
        <v>1</v>
      </c>
      <c r="E140" s="1">
        <v>2</v>
      </c>
      <c r="F140" s="1">
        <v>1</v>
      </c>
      <c r="G140" s="1">
        <v>1</v>
      </c>
      <c r="H140" s="1"/>
      <c r="I140" s="1"/>
      <c r="J140" s="1"/>
      <c r="K140" s="8" t="str">
        <f>CustomFormatWbsIdx(B140,E140,F140,G140,H140,I140,J140)</f>
        <v>002.001.001.---.---.---</v>
      </c>
      <c r="L140" s="8">
        <v>1</v>
      </c>
      <c r="M140" s="8">
        <f>CustomFuncGetLevel(E140,F140,G140,H140,I140)</f>
        <v>3</v>
      </c>
      <c r="N140" s="8" t="b">
        <f>AND(J140&lt;&gt;"",ISNUMBER(J140))</f>
        <v>0</v>
      </c>
      <c r="O140" s="8" t="b">
        <f>NOT(OR(AB140="削除",AB140="移管済",AB140="棚上げ",AB140="却下"))</f>
        <v>1</v>
      </c>
      <c r="P140" s="8" t="b">
        <v>1</v>
      </c>
      <c r="Q140" s="8" t="b">
        <v>1</v>
      </c>
      <c r="R140" s="8" t="str">
        <f>CustomFormatWbsId(B140,E140,F140,G140,H140,I140,J140)</f>
        <v>2.1.1</v>
      </c>
      <c r="S140" s="2"/>
      <c r="T140" s="2"/>
      <c r="U140" s="2" t="s">
        <v>62</v>
      </c>
      <c r="V140" s="2"/>
      <c r="W140" s="2"/>
      <c r="X140" s="2"/>
      <c r="Y140" s="2"/>
      <c r="Z140" s="7">
        <v>20</v>
      </c>
      <c r="AA140" s="7">
        <v>2</v>
      </c>
      <c r="AB140" s="1" t="s">
        <v>79</v>
      </c>
      <c r="AC140" s="1">
        <v>0.36892857142857144</v>
      </c>
      <c r="AD140" s="3">
        <v>0.58500000536441799</v>
      </c>
      <c r="AE140" s="1">
        <v>1</v>
      </c>
      <c r="AF140" s="1" t="s">
        <v>79</v>
      </c>
      <c r="AG140" s="1" t="s">
        <v>79</v>
      </c>
      <c r="AH140" s="4"/>
      <c r="AI140" s="1">
        <v>24</v>
      </c>
      <c r="AJ140" s="1"/>
      <c r="AK140" s="1"/>
      <c r="AL140" s="1">
        <v>21</v>
      </c>
      <c r="AM140" s="1">
        <v>21.5</v>
      </c>
      <c r="AN140" s="1"/>
      <c r="AO140" s="1"/>
      <c r="AP140" s="1" t="s">
        <v>79</v>
      </c>
      <c r="AQ140" s="1" t="s">
        <v>79</v>
      </c>
      <c r="AR140" s="2"/>
    </row>
    <row r="141" spans="2:44" ht="18" customHeight="1">
      <c r="B141" s="17"/>
      <c r="C141" s="1" t="s">
        <v>1</v>
      </c>
      <c r="D141" s="1" t="s">
        <v>1</v>
      </c>
      <c r="E141" s="1">
        <v>2</v>
      </c>
      <c r="F141" s="1">
        <v>1</v>
      </c>
      <c r="G141" s="1">
        <v>1</v>
      </c>
      <c r="H141" s="1"/>
      <c r="I141" s="1"/>
      <c r="J141" s="1">
        <v>1</v>
      </c>
      <c r="K141" s="8" t="str">
        <f>CustomFormatWbsIdx(B141,E141,F141,G141,H141,I141,J141)</f>
        <v>002.001.001.---.---.001</v>
      </c>
      <c r="L141" s="8">
        <v>1</v>
      </c>
      <c r="M141" s="8">
        <f>CustomFuncGetLevel(E141,F141,G141,H141,I141)</f>
        <v>3</v>
      </c>
      <c r="N141" s="8" t="b">
        <f>AND(J141&lt;&gt;"",ISNUMBER(J141))</f>
        <v>1</v>
      </c>
      <c r="O141" s="8" t="b">
        <f>NOT(OR(AB141="削除",AB141="移管済",AB141="棚上げ",AB141="却下"))</f>
        <v>0</v>
      </c>
      <c r="P141" s="8" t="b">
        <v>1</v>
      </c>
      <c r="Q141" s="8" t="b">
        <v>0</v>
      </c>
      <c r="R141" s="8" t="str">
        <f>CustomFormatWbsId(B141,E141,F141,G141,H141,I141,J141)</f>
        <v>2.1.1.T1</v>
      </c>
      <c r="S141" s="2"/>
      <c r="T141" s="2"/>
      <c r="U141" s="2"/>
      <c r="V141" s="2"/>
      <c r="W141" s="2"/>
      <c r="X141" s="2" t="s">
        <v>63</v>
      </c>
      <c r="Y141" s="2"/>
      <c r="Z141" s="7">
        <v>1</v>
      </c>
      <c r="AA141" s="7">
        <v>0</v>
      </c>
      <c r="AB141" s="1" t="s">
        <v>82</v>
      </c>
      <c r="AC141" s="1">
        <v>0.4</v>
      </c>
      <c r="AD141" s="3">
        <v>0.20000000298023224</v>
      </c>
      <c r="AE141" s="1">
        <v>1</v>
      </c>
      <c r="AF141" s="1" t="s">
        <v>79</v>
      </c>
      <c r="AG141" s="1" t="s">
        <v>79</v>
      </c>
      <c r="AH141" s="4"/>
      <c r="AI141" s="1">
        <v>1</v>
      </c>
      <c r="AJ141" s="1"/>
      <c r="AK141" s="1"/>
      <c r="AL141" s="1">
        <v>1.5</v>
      </c>
      <c r="AM141" s="1">
        <v>1</v>
      </c>
      <c r="AN141" s="1"/>
      <c r="AO141" s="1"/>
      <c r="AP141" s="1" t="s">
        <v>79</v>
      </c>
      <c r="AQ141" s="1" t="s">
        <v>79</v>
      </c>
      <c r="AR141" s="2"/>
    </row>
    <row r="142" spans="2:44" ht="18" customHeight="1">
      <c r="B142" s="17"/>
      <c r="C142" s="1" t="s">
        <v>1</v>
      </c>
      <c r="D142" s="1" t="s">
        <v>1</v>
      </c>
      <c r="E142" s="1">
        <v>2</v>
      </c>
      <c r="F142" s="1">
        <v>1</v>
      </c>
      <c r="G142" s="1">
        <v>1</v>
      </c>
      <c r="H142" s="1"/>
      <c r="I142" s="1"/>
      <c r="J142" s="1">
        <v>2</v>
      </c>
      <c r="K142" s="8" t="str">
        <f>CustomFormatWbsIdx(B142,E142,F142,G142,H142,I142,J142)</f>
        <v>002.001.001.---.---.002</v>
      </c>
      <c r="L142" s="8">
        <v>1</v>
      </c>
      <c r="M142" s="8">
        <f>CustomFuncGetLevel(E142,F142,G142,H142,I142)</f>
        <v>3</v>
      </c>
      <c r="N142" s="8" t="b">
        <f>AND(J142&lt;&gt;"",ISNUMBER(J142))</f>
        <v>1</v>
      </c>
      <c r="O142" s="8" t="b">
        <f>NOT(OR(AB142="削除",AB142="移管済",AB142="棚上げ",AB142="却下"))</f>
        <v>1</v>
      </c>
      <c r="P142" s="8" t="b">
        <v>1</v>
      </c>
      <c r="Q142" s="8" t="b">
        <v>0</v>
      </c>
      <c r="R142" s="8" t="str">
        <f>CustomFormatWbsId(B142,E142,F142,G142,H142,I142,J142)</f>
        <v>2.1.1.T2</v>
      </c>
      <c r="S142" s="2"/>
      <c r="T142" s="2"/>
      <c r="U142" s="2"/>
      <c r="V142" s="2"/>
      <c r="W142" s="2"/>
      <c r="X142" s="2" t="s">
        <v>64</v>
      </c>
      <c r="Y142" s="2"/>
      <c r="Z142" s="7">
        <v>1</v>
      </c>
      <c r="AA142" s="7">
        <v>0</v>
      </c>
      <c r="AB142" s="1" t="s">
        <v>83</v>
      </c>
      <c r="AC142" s="1">
        <v>0</v>
      </c>
      <c r="AD142" s="3">
        <v>0.5</v>
      </c>
      <c r="AE142" s="1">
        <v>1</v>
      </c>
      <c r="AF142" s="1" t="s">
        <v>79</v>
      </c>
      <c r="AG142" s="1" t="s">
        <v>79</v>
      </c>
      <c r="AH142" s="4"/>
      <c r="AI142" s="1">
        <v>1</v>
      </c>
      <c r="AJ142" s="1"/>
      <c r="AK142" s="1"/>
      <c r="AL142" s="1">
        <v>1.5</v>
      </c>
      <c r="AM142" s="1">
        <v>0</v>
      </c>
      <c r="AN142" s="1"/>
      <c r="AO142" s="1"/>
      <c r="AP142" s="1" t="s">
        <v>79</v>
      </c>
      <c r="AQ142" s="1" t="s">
        <v>79</v>
      </c>
      <c r="AR142" s="2"/>
    </row>
    <row r="143" spans="2:44" ht="18" customHeight="1">
      <c r="B143" s="17"/>
      <c r="C143" s="1" t="s">
        <v>1</v>
      </c>
      <c r="D143" s="1" t="s">
        <v>1</v>
      </c>
      <c r="E143" s="1">
        <v>2</v>
      </c>
      <c r="F143" s="1">
        <v>1</v>
      </c>
      <c r="G143" s="1">
        <v>1</v>
      </c>
      <c r="H143" s="1"/>
      <c r="I143" s="1"/>
      <c r="J143" s="1">
        <v>3</v>
      </c>
      <c r="K143" s="8" t="str">
        <f>CustomFormatWbsIdx(B143,E143,F143,G143,H143,I143,J143)</f>
        <v>002.001.001.---.---.003</v>
      </c>
      <c r="L143" s="8">
        <v>1</v>
      </c>
      <c r="M143" s="8">
        <f>CustomFuncGetLevel(E143,F143,G143,H143,I143)</f>
        <v>3</v>
      </c>
      <c r="N143" s="8" t="b">
        <f>AND(J143&lt;&gt;"",ISNUMBER(J143))</f>
        <v>1</v>
      </c>
      <c r="O143" s="8" t="b">
        <f>NOT(OR(AB143="削除",AB143="移管済",AB143="棚上げ",AB143="却下"))</f>
        <v>1</v>
      </c>
      <c r="P143" s="8" t="b">
        <v>1</v>
      </c>
      <c r="Q143" s="8" t="b">
        <v>0</v>
      </c>
      <c r="R143" s="8" t="str">
        <f>CustomFormatWbsId(B143,E143,F143,G143,H143,I143,J143)</f>
        <v>2.1.1.T3</v>
      </c>
      <c r="S143" s="2"/>
      <c r="T143" s="2"/>
      <c r="U143" s="2"/>
      <c r="V143" s="2"/>
      <c r="W143" s="2"/>
      <c r="X143" s="2" t="s">
        <v>65</v>
      </c>
      <c r="Y143" s="2"/>
      <c r="Z143" s="7">
        <v>1</v>
      </c>
      <c r="AA143" s="7">
        <v>0</v>
      </c>
      <c r="AB143" s="1" t="s">
        <v>79</v>
      </c>
      <c r="AC143" s="1">
        <v>0.5</v>
      </c>
      <c r="AD143" s="3">
        <v>0.60000002384185791</v>
      </c>
      <c r="AE143" s="1">
        <v>1</v>
      </c>
      <c r="AF143" s="1" t="s">
        <v>79</v>
      </c>
      <c r="AG143" s="1" t="s">
        <v>79</v>
      </c>
      <c r="AH143" s="4"/>
      <c r="AI143" s="1">
        <v>0.5</v>
      </c>
      <c r="AJ143" s="1"/>
      <c r="AK143" s="1"/>
      <c r="AL143" s="1">
        <v>2.5</v>
      </c>
      <c r="AM143" s="1">
        <v>2.5</v>
      </c>
      <c r="AN143" s="1"/>
      <c r="AO143" s="1"/>
      <c r="AP143" s="1" t="s">
        <v>79</v>
      </c>
      <c r="AQ143" s="1" t="s">
        <v>79</v>
      </c>
      <c r="AR143" s="2"/>
    </row>
    <row r="144" spans="2:44" ht="18" customHeight="1">
      <c r="B144" s="17"/>
      <c r="C144" s="1" t="s">
        <v>1</v>
      </c>
      <c r="D144" s="1" t="s">
        <v>1</v>
      </c>
      <c r="E144" s="1">
        <v>2</v>
      </c>
      <c r="F144" s="1">
        <v>1</v>
      </c>
      <c r="G144" s="1">
        <v>1</v>
      </c>
      <c r="H144" s="1">
        <v>1</v>
      </c>
      <c r="I144" s="1"/>
      <c r="J144" s="1"/>
      <c r="K144" s="8" t="str">
        <f>CustomFormatWbsIdx(B144,E144,F144,G144,H144,I144,J144)</f>
        <v>002.001.001.001.---.---</v>
      </c>
      <c r="L144" s="8">
        <v>1</v>
      </c>
      <c r="M144" s="8">
        <f>CustomFuncGetLevel(E144,F144,G144,H144,I144)</f>
        <v>4</v>
      </c>
      <c r="N144" s="8" t="b">
        <f>AND(J144&lt;&gt;"",ISNUMBER(J144))</f>
        <v>0</v>
      </c>
      <c r="O144" s="8" t="b">
        <f>NOT(OR(AB144="削除",AB144="移管済",AB144="棚上げ",AB144="却下"))</f>
        <v>1</v>
      </c>
      <c r="P144" s="8" t="b">
        <v>1</v>
      </c>
      <c r="Q144" s="8" t="b">
        <v>1</v>
      </c>
      <c r="R144" s="8" t="str">
        <f>CustomFormatWbsId(B144,E144,F144,G144,H144,I144,J144)</f>
        <v>2.1.1.1</v>
      </c>
      <c r="S144" s="2"/>
      <c r="T144" s="2"/>
      <c r="U144" s="2"/>
      <c r="V144" s="2" t="s">
        <v>66</v>
      </c>
      <c r="W144" s="2"/>
      <c r="X144" s="2"/>
      <c r="Y144" s="2"/>
      <c r="Z144" s="7">
        <v>9</v>
      </c>
      <c r="AA144" s="7">
        <v>1</v>
      </c>
      <c r="AB144" s="1" t="s">
        <v>79</v>
      </c>
      <c r="AC144" s="1">
        <v>0.35444444444444445</v>
      </c>
      <c r="AD144" s="3">
        <v>0.59133333504199981</v>
      </c>
      <c r="AE144" s="1">
        <v>3</v>
      </c>
      <c r="AF144" s="1" t="s">
        <v>79</v>
      </c>
      <c r="AG144" s="1" t="s">
        <v>79</v>
      </c>
      <c r="AH144" s="4"/>
      <c r="AI144" s="1">
        <v>10.5</v>
      </c>
      <c r="AJ144" s="1"/>
      <c r="AK144" s="1"/>
      <c r="AL144" s="1">
        <v>9</v>
      </c>
      <c r="AM144" s="1">
        <v>7</v>
      </c>
      <c r="AN144" s="1"/>
      <c r="AO144" s="1"/>
      <c r="AP144" s="1" t="s">
        <v>79</v>
      </c>
      <c r="AQ144" s="1" t="s">
        <v>79</v>
      </c>
      <c r="AR144" s="2"/>
    </row>
    <row r="145" spans="2:44" ht="18" customHeight="1">
      <c r="B145" s="17"/>
      <c r="C145" s="1" t="s">
        <v>1</v>
      </c>
      <c r="D145" s="1" t="s">
        <v>1</v>
      </c>
      <c r="E145" s="1">
        <v>2</v>
      </c>
      <c r="F145" s="1">
        <v>1</v>
      </c>
      <c r="G145" s="1">
        <v>1</v>
      </c>
      <c r="H145" s="1">
        <v>1</v>
      </c>
      <c r="I145" s="1"/>
      <c r="J145" s="1">
        <v>1</v>
      </c>
      <c r="K145" s="8" t="str">
        <f>CustomFormatWbsIdx(B145,E145,F145,G145,H145,I145,J145)</f>
        <v>002.001.001.001.---.001</v>
      </c>
      <c r="L145" s="8">
        <v>1</v>
      </c>
      <c r="M145" s="8">
        <f>CustomFuncGetLevel(E145,F145,G145,H145,I145)</f>
        <v>4</v>
      </c>
      <c r="N145" s="8" t="b">
        <f>AND(J145&lt;&gt;"",ISNUMBER(J145))</f>
        <v>1</v>
      </c>
      <c r="O145" s="8" t="b">
        <f>NOT(OR(AB145="削除",AB145="移管済",AB145="棚上げ",AB145="却下"))</f>
        <v>1</v>
      </c>
      <c r="P145" s="8" t="b">
        <v>1</v>
      </c>
      <c r="Q145" s="8" t="b">
        <v>0</v>
      </c>
      <c r="R145" s="8" t="str">
        <f>CustomFormatWbsId(B145,E145,F145,G145,H145,I145,J145)</f>
        <v>2.1.1.1.T1</v>
      </c>
      <c r="S145" s="2"/>
      <c r="T145" s="2"/>
      <c r="U145" s="2"/>
      <c r="V145" s="2"/>
      <c r="W145" s="2"/>
      <c r="X145" s="2" t="s">
        <v>67</v>
      </c>
      <c r="Y145" s="2"/>
      <c r="Z145" s="7">
        <v>1</v>
      </c>
      <c r="AA145" s="7">
        <v>1</v>
      </c>
      <c r="AB145" s="1" t="s">
        <v>32</v>
      </c>
      <c r="AC145" s="1">
        <v>1</v>
      </c>
      <c r="AD145" s="3">
        <v>1</v>
      </c>
      <c r="AE145" s="1">
        <v>1</v>
      </c>
      <c r="AF145" s="1" t="s">
        <v>79</v>
      </c>
      <c r="AG145" s="1" t="s">
        <v>79</v>
      </c>
      <c r="AH145" s="4"/>
      <c r="AI145" s="1">
        <v>1</v>
      </c>
      <c r="AJ145" s="1"/>
      <c r="AK145" s="1"/>
      <c r="AL145" s="1">
        <v>0</v>
      </c>
      <c r="AM145" s="1">
        <v>2.5</v>
      </c>
      <c r="AN145" s="1"/>
      <c r="AO145" s="1"/>
      <c r="AP145" s="1" t="s">
        <v>79</v>
      </c>
      <c r="AQ145" s="1" t="s">
        <v>79</v>
      </c>
      <c r="AR145" s="2"/>
    </row>
    <row r="146" spans="2:44" ht="18" customHeight="1">
      <c r="B146" s="17"/>
      <c r="C146" s="1" t="s">
        <v>1</v>
      </c>
      <c r="D146" s="1" t="s">
        <v>1</v>
      </c>
      <c r="E146" s="1">
        <v>2</v>
      </c>
      <c r="F146" s="1">
        <v>1</v>
      </c>
      <c r="G146" s="1">
        <v>1</v>
      </c>
      <c r="H146" s="1">
        <v>1</v>
      </c>
      <c r="I146" s="1"/>
      <c r="J146" s="1">
        <v>2</v>
      </c>
      <c r="K146" s="8" t="str">
        <f>CustomFormatWbsIdx(B146,E146,F146,G146,H146,I146,J146)</f>
        <v>002.001.001.001.---.002</v>
      </c>
      <c r="L146" s="8">
        <v>1</v>
      </c>
      <c r="M146" s="8">
        <f>CustomFuncGetLevel(E146,F146,G146,H146,I146)</f>
        <v>4</v>
      </c>
      <c r="N146" s="8" t="b">
        <f>AND(J146&lt;&gt;"",ISNUMBER(J146))</f>
        <v>1</v>
      </c>
      <c r="O146" s="8" t="b">
        <f>NOT(OR(AB146="削除",AB146="移管済",AB146="棚上げ",AB146="却下"))</f>
        <v>1</v>
      </c>
      <c r="P146" s="8" t="b">
        <v>1</v>
      </c>
      <c r="Q146" s="8" t="b">
        <v>0</v>
      </c>
      <c r="R146" s="8" t="str">
        <f>CustomFormatWbsId(B146,E146,F146,G146,H146,I146,J146)</f>
        <v>2.1.1.1.T2</v>
      </c>
      <c r="S146" s="2"/>
      <c r="T146" s="2"/>
      <c r="U146" s="2"/>
      <c r="V146" s="2"/>
      <c r="W146" s="2"/>
      <c r="X146" s="2" t="s">
        <v>68</v>
      </c>
      <c r="Y146" s="2"/>
      <c r="Z146" s="7">
        <v>1</v>
      </c>
      <c r="AA146" s="7">
        <v>0</v>
      </c>
      <c r="AB146" s="1" t="s">
        <v>84</v>
      </c>
      <c r="AC146" s="1">
        <v>0</v>
      </c>
      <c r="AD146" s="3">
        <v>0.20000000298023224</v>
      </c>
      <c r="AE146" s="1">
        <v>1</v>
      </c>
      <c r="AF146" s="1" t="s">
        <v>79</v>
      </c>
      <c r="AG146" s="1" t="s">
        <v>79</v>
      </c>
      <c r="AH146" s="4"/>
      <c r="AI146" s="1">
        <v>0.5</v>
      </c>
      <c r="AJ146" s="1"/>
      <c r="AK146" s="1"/>
      <c r="AL146" s="1">
        <v>2</v>
      </c>
      <c r="AM146" s="1">
        <v>0</v>
      </c>
      <c r="AN146" s="1"/>
      <c r="AO146" s="1"/>
      <c r="AP146" s="1" t="s">
        <v>79</v>
      </c>
      <c r="AQ146" s="1" t="s">
        <v>79</v>
      </c>
      <c r="AR146" s="2"/>
    </row>
    <row r="147" spans="2:44" ht="18" customHeight="1">
      <c r="B147" s="17"/>
      <c r="C147" s="1" t="s">
        <v>1</v>
      </c>
      <c r="D147" s="1" t="s">
        <v>1</v>
      </c>
      <c r="E147" s="1">
        <v>2</v>
      </c>
      <c r="F147" s="1">
        <v>1</v>
      </c>
      <c r="G147" s="1">
        <v>1</v>
      </c>
      <c r="H147" s="1">
        <v>1</v>
      </c>
      <c r="I147" s="1"/>
      <c r="J147" s="1">
        <v>3</v>
      </c>
      <c r="K147" s="8" t="str">
        <f>CustomFormatWbsIdx(B147,E147,F147,G147,H147,I147,J147)</f>
        <v>002.001.001.001.---.003</v>
      </c>
      <c r="L147" s="8">
        <v>1</v>
      </c>
      <c r="M147" s="8">
        <f>CustomFuncGetLevel(E147,F147,G147,H147,I147)</f>
        <v>4</v>
      </c>
      <c r="N147" s="8" t="b">
        <f>AND(J147&lt;&gt;"",ISNUMBER(J147))</f>
        <v>1</v>
      </c>
      <c r="O147" s="8" t="b">
        <f>NOT(OR(AB147="削除",AB147="移管済",AB147="棚上げ",AB147="却下"))</f>
        <v>1</v>
      </c>
      <c r="P147" s="8" t="b">
        <v>1</v>
      </c>
      <c r="Q147" s="8" t="b">
        <v>0</v>
      </c>
      <c r="R147" s="8" t="str">
        <f>CustomFormatWbsId(B147,E147,F147,G147,H147,I147,J147)</f>
        <v>2.1.1.1.T3</v>
      </c>
      <c r="S147" s="2"/>
      <c r="T147" s="2"/>
      <c r="U147" s="2"/>
      <c r="V147" s="2"/>
      <c r="W147" s="2"/>
      <c r="X147" s="2" t="s">
        <v>69</v>
      </c>
      <c r="Y147" s="2"/>
      <c r="Z147" s="7">
        <v>1</v>
      </c>
      <c r="AA147" s="7">
        <v>0</v>
      </c>
      <c r="AB147" s="1" t="s">
        <v>79</v>
      </c>
      <c r="AC147" s="1">
        <v>0</v>
      </c>
      <c r="AD147" s="3">
        <v>0.30000001192092896</v>
      </c>
      <c r="AE147" s="1">
        <v>1</v>
      </c>
      <c r="AF147" s="1" t="s">
        <v>79</v>
      </c>
      <c r="AG147" s="1" t="s">
        <v>79</v>
      </c>
      <c r="AH147" s="4"/>
      <c r="AI147" s="1">
        <v>2</v>
      </c>
      <c r="AJ147" s="1"/>
      <c r="AK147" s="1"/>
      <c r="AL147" s="1">
        <v>0</v>
      </c>
      <c r="AM147" s="1">
        <v>0</v>
      </c>
      <c r="AN147" s="1"/>
      <c r="AO147" s="1"/>
      <c r="AP147" s="1" t="s">
        <v>79</v>
      </c>
      <c r="AQ147" s="1" t="s">
        <v>79</v>
      </c>
      <c r="AR147" s="2"/>
    </row>
    <row r="148" spans="2:44" ht="18" customHeight="1">
      <c r="B148" s="17"/>
      <c r="C148" s="1" t="s">
        <v>1</v>
      </c>
      <c r="D148" s="1" t="s">
        <v>1</v>
      </c>
      <c r="E148" s="1">
        <v>2</v>
      </c>
      <c r="F148" s="1">
        <v>1</v>
      </c>
      <c r="G148" s="1">
        <v>1</v>
      </c>
      <c r="H148" s="1">
        <v>1</v>
      </c>
      <c r="I148" s="1">
        <v>1</v>
      </c>
      <c r="J148" s="1"/>
      <c r="K148" s="8" t="str">
        <f>CustomFormatWbsIdx(B148,E148,F148,G148,H148,I148,J148)</f>
        <v>002.001.001.001.001.---</v>
      </c>
      <c r="L148" s="8">
        <v>1</v>
      </c>
      <c r="M148" s="8">
        <f>CustomFuncGetLevel(E148,F148,G148,H148,I148)</f>
        <v>5</v>
      </c>
      <c r="N148" s="8" t="b">
        <f>AND(J148&lt;&gt;"",ISNUMBER(J148))</f>
        <v>0</v>
      </c>
      <c r="O148" s="8" t="b">
        <f>NOT(OR(AB148="削除",AB148="移管済",AB148="棚上げ",AB148="却下"))</f>
        <v>1</v>
      </c>
      <c r="P148" s="8" t="b">
        <v>1</v>
      </c>
      <c r="Q148" s="8" t="b">
        <v>1</v>
      </c>
      <c r="R148" s="8" t="str">
        <f>CustomFormatWbsId(B148,E148,F148,G148,H148,I148,J148)</f>
        <v>2.1.1.1.1</v>
      </c>
      <c r="S148" s="2"/>
      <c r="T148" s="2"/>
      <c r="U148" s="2"/>
      <c r="V148" s="2"/>
      <c r="W148" s="2" t="s">
        <v>70</v>
      </c>
      <c r="X148" s="2"/>
      <c r="Y148" s="2"/>
      <c r="Z148" s="7">
        <v>3</v>
      </c>
      <c r="AA148" s="7">
        <v>0</v>
      </c>
      <c r="AB148" s="1" t="s">
        <v>79</v>
      </c>
      <c r="AC148" s="1">
        <v>0.46666666666666662</v>
      </c>
      <c r="AD148" s="3">
        <v>0.63999999761581416</v>
      </c>
      <c r="AE148" s="1">
        <v>1</v>
      </c>
      <c r="AF148" s="1" t="s">
        <v>79</v>
      </c>
      <c r="AG148" s="1" t="s">
        <v>79</v>
      </c>
      <c r="AH148" s="4"/>
      <c r="AI148" s="1">
        <v>4</v>
      </c>
      <c r="AJ148" s="1"/>
      <c r="AK148" s="1"/>
      <c r="AL148" s="1">
        <v>3</v>
      </c>
      <c r="AM148" s="1">
        <v>2.5</v>
      </c>
      <c r="AN148" s="1"/>
      <c r="AO148" s="1"/>
      <c r="AP148" s="1" t="s">
        <v>79</v>
      </c>
      <c r="AQ148" s="1" t="s">
        <v>79</v>
      </c>
      <c r="AR148" s="2"/>
    </row>
    <row r="149" spans="2:44" ht="18" customHeight="1">
      <c r="B149" s="17"/>
      <c r="C149" s="1" t="s">
        <v>1</v>
      </c>
      <c r="D149" s="1" t="s">
        <v>1</v>
      </c>
      <c r="E149" s="1">
        <v>2</v>
      </c>
      <c r="F149" s="1">
        <v>1</v>
      </c>
      <c r="G149" s="1">
        <v>1</v>
      </c>
      <c r="H149" s="1">
        <v>1</v>
      </c>
      <c r="I149" s="1">
        <v>1</v>
      </c>
      <c r="J149" s="1">
        <v>1</v>
      </c>
      <c r="K149" s="8" t="str">
        <f>CustomFormatWbsIdx(B149,E149,F149,G149,H149,I149,J149)</f>
        <v>002.001.001.001.001.001</v>
      </c>
      <c r="L149" s="8">
        <v>1</v>
      </c>
      <c r="M149" s="8">
        <f>CustomFuncGetLevel(E149,F149,G149,H149,I149)</f>
        <v>5</v>
      </c>
      <c r="N149" s="8" t="b">
        <f>AND(J149&lt;&gt;"",ISNUMBER(J149))</f>
        <v>1</v>
      </c>
      <c r="O149" s="8" t="b">
        <f>NOT(OR(AB149="削除",AB149="移管済",AB149="棚上げ",AB149="却下"))</f>
        <v>1</v>
      </c>
      <c r="P149" s="8" t="b">
        <v>1</v>
      </c>
      <c r="Q149" s="8" t="b">
        <v>0</v>
      </c>
      <c r="R149" s="8" t="str">
        <f>CustomFormatWbsId(B149,E149,F149,G149,H149,I149,J149)</f>
        <v>2.1.1.1.1.T1</v>
      </c>
      <c r="S149" s="2"/>
      <c r="T149" s="2"/>
      <c r="U149" s="2"/>
      <c r="V149" s="2"/>
      <c r="W149" s="2"/>
      <c r="X149" s="2" t="s">
        <v>71</v>
      </c>
      <c r="Y149" s="2"/>
      <c r="Z149" s="7">
        <v>1</v>
      </c>
      <c r="AA149" s="7">
        <v>0</v>
      </c>
      <c r="AB149" s="1" t="s">
        <v>79</v>
      </c>
      <c r="AC149" s="1">
        <v>0.5</v>
      </c>
      <c r="AD149" s="3">
        <v>0.30000001192092896</v>
      </c>
      <c r="AE149" s="1">
        <v>2</v>
      </c>
      <c r="AF149" s="1" t="s">
        <v>79</v>
      </c>
      <c r="AG149" s="1" t="s">
        <v>79</v>
      </c>
      <c r="AH149" s="4"/>
      <c r="AI149" s="1">
        <v>1.5</v>
      </c>
      <c r="AJ149" s="1"/>
      <c r="AK149" s="1"/>
      <c r="AL149" s="1">
        <v>0.5</v>
      </c>
      <c r="AM149" s="1">
        <v>0.5</v>
      </c>
      <c r="AN149" s="1"/>
      <c r="AO149" s="1"/>
      <c r="AP149" s="1" t="s">
        <v>79</v>
      </c>
      <c r="AQ149" s="1" t="s">
        <v>79</v>
      </c>
      <c r="AR149" s="2"/>
    </row>
    <row r="150" spans="2:44" ht="18" customHeight="1">
      <c r="B150" s="17"/>
      <c r="C150" s="1" t="s">
        <v>1</v>
      </c>
      <c r="D150" s="1" t="s">
        <v>1</v>
      </c>
      <c r="E150" s="1">
        <v>2</v>
      </c>
      <c r="F150" s="1">
        <v>1</v>
      </c>
      <c r="G150" s="1">
        <v>1</v>
      </c>
      <c r="H150" s="1">
        <v>1</v>
      </c>
      <c r="I150" s="1">
        <v>1</v>
      </c>
      <c r="J150" s="1">
        <v>2</v>
      </c>
      <c r="K150" s="8" t="str">
        <f>CustomFormatWbsIdx(B150,E150,F150,G150,H150,I150,J150)</f>
        <v>002.001.001.001.001.002</v>
      </c>
      <c r="L150" s="8">
        <v>1</v>
      </c>
      <c r="M150" s="8">
        <f>CustomFuncGetLevel(E150,F150,G150,H150,I150)</f>
        <v>5</v>
      </c>
      <c r="N150" s="8" t="b">
        <f>AND(J150&lt;&gt;"",ISNUMBER(J150))</f>
        <v>1</v>
      </c>
      <c r="O150" s="8" t="b">
        <f>NOT(OR(AB150="削除",AB150="移管済",AB150="棚上げ",AB150="却下"))</f>
        <v>1</v>
      </c>
      <c r="P150" s="8" t="b">
        <v>1</v>
      </c>
      <c r="Q150" s="8" t="b">
        <v>0</v>
      </c>
      <c r="R150" s="8" t="str">
        <f>CustomFormatWbsId(B150,E150,F150,G150,H150,I150,J150)</f>
        <v>2.1.1.1.1.T2</v>
      </c>
      <c r="S150" s="2"/>
      <c r="T150" s="2"/>
      <c r="U150" s="2"/>
      <c r="V150" s="2"/>
      <c r="W150" s="2"/>
      <c r="X150" s="2" t="s">
        <v>72</v>
      </c>
      <c r="Y150" s="2"/>
      <c r="Z150" s="7">
        <v>1</v>
      </c>
      <c r="AA150" s="7">
        <v>0</v>
      </c>
      <c r="AB150" s="1" t="s">
        <v>79</v>
      </c>
      <c r="AC150" s="1">
        <v>0.5</v>
      </c>
      <c r="AD150" s="3">
        <v>0.80000001192092896</v>
      </c>
      <c r="AE150" s="1">
        <v>1</v>
      </c>
      <c r="AF150" s="1" t="s">
        <v>79</v>
      </c>
      <c r="AG150" s="1" t="s">
        <v>79</v>
      </c>
      <c r="AH150" s="4"/>
      <c r="AI150" s="1">
        <v>0.5</v>
      </c>
      <c r="AJ150" s="1"/>
      <c r="AK150" s="1"/>
      <c r="AL150" s="1">
        <v>1</v>
      </c>
      <c r="AM150" s="1">
        <v>1</v>
      </c>
      <c r="AN150" s="1"/>
      <c r="AO150" s="1"/>
      <c r="AP150" s="1" t="s">
        <v>79</v>
      </c>
      <c r="AQ150" s="1" t="s">
        <v>79</v>
      </c>
      <c r="AR150" s="2"/>
    </row>
    <row r="151" spans="2:44" ht="18" customHeight="1">
      <c r="B151" s="17"/>
      <c r="C151" s="1" t="s">
        <v>1</v>
      </c>
      <c r="D151" s="1" t="s">
        <v>1</v>
      </c>
      <c r="E151" s="1">
        <v>2</v>
      </c>
      <c r="F151" s="1">
        <v>1</v>
      </c>
      <c r="G151" s="1">
        <v>1</v>
      </c>
      <c r="H151" s="1">
        <v>1</v>
      </c>
      <c r="I151" s="1">
        <v>1</v>
      </c>
      <c r="J151" s="1">
        <v>3</v>
      </c>
      <c r="K151" s="8" t="str">
        <f>CustomFormatWbsIdx(B151,E151,F151,G151,H151,I151,J151)</f>
        <v>002.001.001.001.001.003</v>
      </c>
      <c r="L151" s="8">
        <v>1</v>
      </c>
      <c r="M151" s="8">
        <f>CustomFuncGetLevel(E151,F151,G151,H151,I151)</f>
        <v>5</v>
      </c>
      <c r="N151" s="8" t="b">
        <f>AND(J151&lt;&gt;"",ISNUMBER(J151))</f>
        <v>1</v>
      </c>
      <c r="O151" s="8" t="b">
        <f>NOT(OR(AB151="削除",AB151="移管済",AB151="棚上げ",AB151="却下"))</f>
        <v>1</v>
      </c>
      <c r="P151" s="8" t="b">
        <v>1</v>
      </c>
      <c r="Q151" s="8" t="b">
        <v>0</v>
      </c>
      <c r="R151" s="8" t="str">
        <f>CustomFormatWbsId(B151,E151,F151,G151,H151,I151,J151)</f>
        <v>2.1.1.1.1.T3</v>
      </c>
      <c r="S151" s="2"/>
      <c r="T151" s="2"/>
      <c r="U151" s="2"/>
      <c r="V151" s="2"/>
      <c r="W151" s="2"/>
      <c r="X151" s="2"/>
      <c r="Y151" s="2"/>
      <c r="Z151" s="7">
        <v>1</v>
      </c>
      <c r="AA151" s="7">
        <v>0</v>
      </c>
      <c r="AB151" s="1" t="s">
        <v>79</v>
      </c>
      <c r="AC151" s="1">
        <v>0.4</v>
      </c>
      <c r="AD151" s="3">
        <v>0.89999997615814209</v>
      </c>
      <c r="AE151" s="1">
        <v>2</v>
      </c>
      <c r="AF151" s="1" t="s">
        <v>79</v>
      </c>
      <c r="AG151" s="1" t="s">
        <v>79</v>
      </c>
      <c r="AH151" s="4"/>
      <c r="AI151" s="1">
        <v>2</v>
      </c>
      <c r="AJ151" s="1"/>
      <c r="AK151" s="1"/>
      <c r="AL151" s="1">
        <v>1.5</v>
      </c>
      <c r="AM151" s="1">
        <v>1</v>
      </c>
      <c r="AN151" s="1"/>
      <c r="AO151" s="1"/>
      <c r="AP151" s="1" t="s">
        <v>79</v>
      </c>
      <c r="AQ151" s="1" t="s">
        <v>79</v>
      </c>
      <c r="AR151" s="2"/>
    </row>
    <row r="152" spans="2:44" ht="18" customHeight="1">
      <c r="B152" s="17"/>
      <c r="C152" s="1" t="s">
        <v>1</v>
      </c>
      <c r="D152" s="1" t="s">
        <v>1</v>
      </c>
      <c r="E152" s="1">
        <v>2</v>
      </c>
      <c r="F152" s="1">
        <v>1</v>
      </c>
      <c r="G152" s="1">
        <v>1</v>
      </c>
      <c r="H152" s="1">
        <v>1</v>
      </c>
      <c r="I152" s="1">
        <v>2</v>
      </c>
      <c r="J152" s="1"/>
      <c r="K152" s="8" t="str">
        <f>CustomFormatWbsIdx(B152,E152,F152,G152,H152,I152,J152)</f>
        <v>002.001.001.001.002.---</v>
      </c>
      <c r="L152" s="8">
        <v>1</v>
      </c>
      <c r="M152" s="8">
        <f>CustomFuncGetLevel(E152,F152,G152,H152,I152)</f>
        <v>5</v>
      </c>
      <c r="N152" s="8" t="b">
        <f>AND(J152&lt;&gt;"",ISNUMBER(J152))</f>
        <v>0</v>
      </c>
      <c r="O152" s="8" t="b">
        <f>NOT(OR(AB152="削除",AB152="移管済",AB152="棚上げ",AB152="却下"))</f>
        <v>1</v>
      </c>
      <c r="P152" s="8" t="b">
        <v>1</v>
      </c>
      <c r="Q152" s="8" t="b">
        <v>1</v>
      </c>
      <c r="R152" s="8" t="str">
        <f>CustomFormatWbsId(B152,E152,F152,G152,H152,I152,J152)</f>
        <v>2.1.1.1.2</v>
      </c>
      <c r="S152" s="2"/>
      <c r="T152" s="2"/>
      <c r="U152" s="2"/>
      <c r="V152" s="2"/>
      <c r="W152" s="2"/>
      <c r="X152" s="2"/>
      <c r="Y152" s="2"/>
      <c r="Z152" s="7">
        <v>3</v>
      </c>
      <c r="AA152" s="7">
        <v>0</v>
      </c>
      <c r="AB152" s="1" t="s">
        <v>79</v>
      </c>
      <c r="AC152" s="1">
        <v>0.30555555555555552</v>
      </c>
      <c r="AD152" s="3">
        <v>0.81666666269302368</v>
      </c>
      <c r="AE152" s="1">
        <v>1</v>
      </c>
      <c r="AF152" s="1" t="s">
        <v>79</v>
      </c>
      <c r="AG152" s="1" t="s">
        <v>79</v>
      </c>
      <c r="AH152" s="4"/>
      <c r="AI152" s="1">
        <v>3</v>
      </c>
      <c r="AJ152" s="1"/>
      <c r="AK152" s="1"/>
      <c r="AL152" s="1">
        <v>4</v>
      </c>
      <c r="AM152" s="1">
        <v>2</v>
      </c>
      <c r="AN152" s="1"/>
      <c r="AO152" s="1"/>
      <c r="AP152" s="1" t="s">
        <v>79</v>
      </c>
      <c r="AQ152" s="1" t="s">
        <v>79</v>
      </c>
      <c r="AR152" s="2"/>
    </row>
    <row r="153" spans="2:44" ht="18" customHeight="1">
      <c r="B153" s="17"/>
      <c r="C153" s="1" t="s">
        <v>1</v>
      </c>
      <c r="D153" s="1" t="s">
        <v>1</v>
      </c>
      <c r="E153" s="1">
        <v>2</v>
      </c>
      <c r="F153" s="1">
        <v>1</v>
      </c>
      <c r="G153" s="1">
        <v>1</v>
      </c>
      <c r="H153" s="1">
        <v>1</v>
      </c>
      <c r="I153" s="1">
        <v>2</v>
      </c>
      <c r="J153" s="1">
        <v>1</v>
      </c>
      <c r="K153" s="8" t="str">
        <f>CustomFormatWbsIdx(B153,E153,F153,G153,H153,I153,J153)</f>
        <v>002.001.001.001.002.001</v>
      </c>
      <c r="L153" s="8">
        <v>1</v>
      </c>
      <c r="M153" s="8">
        <f>CustomFuncGetLevel(E153,F153,G153,H153,I153)</f>
        <v>5</v>
      </c>
      <c r="N153" s="8" t="b">
        <f>AND(J153&lt;&gt;"",ISNUMBER(J153))</f>
        <v>1</v>
      </c>
      <c r="O153" s="8" t="b">
        <f>NOT(OR(AB153="削除",AB153="移管済",AB153="棚上げ",AB153="却下"))</f>
        <v>1</v>
      </c>
      <c r="P153" s="8" t="b">
        <v>1</v>
      </c>
      <c r="Q153" s="8" t="b">
        <v>0</v>
      </c>
      <c r="R153" s="8" t="str">
        <f>CustomFormatWbsId(B153,E153,F153,G153,H153,I153,J153)</f>
        <v>2.1.1.1.2.T1</v>
      </c>
      <c r="S153" s="2"/>
      <c r="T153" s="2"/>
      <c r="U153" s="2"/>
      <c r="V153" s="2"/>
      <c r="W153" s="2"/>
      <c r="X153" s="2" t="s">
        <v>71</v>
      </c>
      <c r="Y153" s="2"/>
      <c r="Z153" s="7">
        <v>1</v>
      </c>
      <c r="AA153" s="7">
        <v>0</v>
      </c>
      <c r="AB153" s="1" t="s">
        <v>79</v>
      </c>
      <c r="AC153" s="1">
        <v>0.75</v>
      </c>
      <c r="AD153" s="3">
        <v>1</v>
      </c>
      <c r="AE153" s="1">
        <v>2</v>
      </c>
      <c r="AF153" s="1" t="s">
        <v>79</v>
      </c>
      <c r="AG153" s="1" t="s">
        <v>79</v>
      </c>
      <c r="AH153" s="4"/>
      <c r="AI153" s="1">
        <v>1.5</v>
      </c>
      <c r="AJ153" s="1"/>
      <c r="AK153" s="1"/>
      <c r="AL153" s="1">
        <v>0.5</v>
      </c>
      <c r="AM153" s="1">
        <v>1.5</v>
      </c>
      <c r="AN153" s="1"/>
      <c r="AO153" s="1"/>
      <c r="AP153" s="1" t="s">
        <v>79</v>
      </c>
      <c r="AQ153" s="1" t="s">
        <v>79</v>
      </c>
      <c r="AR153" s="2"/>
    </row>
    <row r="154" spans="2:44" ht="18" customHeight="1">
      <c r="B154" s="17"/>
      <c r="C154" s="1" t="s">
        <v>1</v>
      </c>
      <c r="D154" s="1" t="s">
        <v>1</v>
      </c>
      <c r="E154" s="1">
        <v>2</v>
      </c>
      <c r="F154" s="1">
        <v>1</v>
      </c>
      <c r="G154" s="1">
        <v>1</v>
      </c>
      <c r="H154" s="1">
        <v>1</v>
      </c>
      <c r="I154" s="1">
        <v>2</v>
      </c>
      <c r="J154" s="1">
        <v>2</v>
      </c>
      <c r="K154" s="8" t="str">
        <f>CustomFormatWbsIdx(B154,E154,F154,G154,H154,I154,J154)</f>
        <v>002.001.001.001.002.002</v>
      </c>
      <c r="L154" s="8">
        <v>1</v>
      </c>
      <c r="M154" s="8">
        <f>CustomFuncGetLevel(E154,F154,G154,H154,I154)</f>
        <v>5</v>
      </c>
      <c r="N154" s="8" t="b">
        <f>AND(J154&lt;&gt;"",ISNUMBER(J154))</f>
        <v>1</v>
      </c>
      <c r="O154" s="8" t="b">
        <f>NOT(OR(AB154="削除",AB154="移管済",AB154="棚上げ",AB154="却下"))</f>
        <v>1</v>
      </c>
      <c r="P154" s="8" t="b">
        <v>1</v>
      </c>
      <c r="Q154" s="8" t="b">
        <v>0</v>
      </c>
      <c r="R154" s="8" t="str">
        <f>CustomFormatWbsId(B154,E154,F154,G154,H154,I154,J154)</f>
        <v>2.1.1.1.2.T2</v>
      </c>
      <c r="S154" s="2"/>
      <c r="T154" s="2"/>
      <c r="U154" s="2"/>
      <c r="V154" s="2"/>
      <c r="W154" s="2"/>
      <c r="X154" s="2" t="s">
        <v>72</v>
      </c>
      <c r="Y154" s="2"/>
      <c r="Z154" s="7">
        <v>1</v>
      </c>
      <c r="AA154" s="7">
        <v>0</v>
      </c>
      <c r="AB154" s="1" t="s">
        <v>79</v>
      </c>
      <c r="AC154" s="1">
        <v>0.16666666666666666</v>
      </c>
      <c r="AD154" s="3">
        <v>0.80000001192092896</v>
      </c>
      <c r="AE154" s="1">
        <v>1</v>
      </c>
      <c r="AF154" s="1" t="s">
        <v>79</v>
      </c>
      <c r="AG154" s="1" t="s">
        <v>79</v>
      </c>
      <c r="AH154" s="4"/>
      <c r="AI154" s="1">
        <v>1</v>
      </c>
      <c r="AJ154" s="1"/>
      <c r="AK154" s="1"/>
      <c r="AL154" s="1">
        <v>2.5</v>
      </c>
      <c r="AM154" s="1">
        <v>0.5</v>
      </c>
      <c r="AN154" s="1"/>
      <c r="AO154" s="1"/>
      <c r="AP154" s="1" t="s">
        <v>79</v>
      </c>
      <c r="AQ154" s="1" t="s">
        <v>79</v>
      </c>
      <c r="AR154" s="2"/>
    </row>
    <row r="155" spans="2:44" ht="18" customHeight="1">
      <c r="B155" s="17"/>
      <c r="C155" s="1" t="s">
        <v>1</v>
      </c>
      <c r="D155" s="1" t="s">
        <v>1</v>
      </c>
      <c r="E155" s="1">
        <v>2</v>
      </c>
      <c r="F155" s="1">
        <v>1</v>
      </c>
      <c r="G155" s="1">
        <v>1</v>
      </c>
      <c r="H155" s="1">
        <v>1</v>
      </c>
      <c r="I155" s="1">
        <v>2</v>
      </c>
      <c r="J155" s="1">
        <v>3</v>
      </c>
      <c r="K155" s="8" t="str">
        <f>CustomFormatWbsIdx(B155,E155,F155,G155,H155,I155,J155)</f>
        <v>002.001.001.001.002.003</v>
      </c>
      <c r="L155" s="8">
        <v>1</v>
      </c>
      <c r="M155" s="8">
        <f>CustomFuncGetLevel(E155,F155,G155,H155,I155)</f>
        <v>5</v>
      </c>
      <c r="N155" s="8" t="b">
        <f>AND(J155&lt;&gt;"",ISNUMBER(J155))</f>
        <v>1</v>
      </c>
      <c r="O155" s="8" t="b">
        <f>NOT(OR(AB155="削除",AB155="移管済",AB155="棚上げ",AB155="却下"))</f>
        <v>1</v>
      </c>
      <c r="P155" s="8" t="b">
        <v>1</v>
      </c>
      <c r="Q155" s="8" t="b">
        <v>0</v>
      </c>
      <c r="R155" s="8" t="str">
        <f>CustomFormatWbsId(B155,E155,F155,G155,H155,I155,J155)</f>
        <v>2.1.1.1.2.T3</v>
      </c>
      <c r="S155" s="2"/>
      <c r="T155" s="2"/>
      <c r="U155" s="2"/>
      <c r="V155" s="2"/>
      <c r="W155" s="2"/>
      <c r="X155" s="2"/>
      <c r="Y155" s="2"/>
      <c r="Z155" s="7">
        <v>1</v>
      </c>
      <c r="AA155" s="7">
        <v>0</v>
      </c>
      <c r="AB155" s="1" t="s">
        <v>79</v>
      </c>
      <c r="AC155" s="1">
        <v>0</v>
      </c>
      <c r="AD155" s="3">
        <v>0.69999998807907104</v>
      </c>
      <c r="AE155" s="1">
        <v>3</v>
      </c>
      <c r="AF155" s="1" t="s">
        <v>79</v>
      </c>
      <c r="AG155" s="1" t="s">
        <v>79</v>
      </c>
      <c r="AH155" s="4"/>
      <c r="AI155" s="1">
        <v>0.5</v>
      </c>
      <c r="AJ155" s="1"/>
      <c r="AK155" s="1"/>
      <c r="AL155" s="1">
        <v>1</v>
      </c>
      <c r="AM155" s="1">
        <v>0</v>
      </c>
      <c r="AN155" s="1"/>
      <c r="AO155" s="1"/>
      <c r="AP155" s="1" t="s">
        <v>79</v>
      </c>
      <c r="AQ155" s="1" t="s">
        <v>79</v>
      </c>
      <c r="AR155" s="2"/>
    </row>
    <row r="156" spans="2:44" ht="18" customHeight="1">
      <c r="B156" s="17"/>
      <c r="C156" s="1" t="s">
        <v>1</v>
      </c>
      <c r="D156" s="1" t="s">
        <v>1</v>
      </c>
      <c r="E156" s="1">
        <v>2</v>
      </c>
      <c r="F156" s="1">
        <v>1</v>
      </c>
      <c r="G156" s="1">
        <v>1</v>
      </c>
      <c r="H156" s="1">
        <v>2</v>
      </c>
      <c r="I156" s="1"/>
      <c r="J156" s="1"/>
      <c r="K156" s="8" t="str">
        <f>CustomFormatWbsIdx(B156,E156,F156,G156,H156,I156,J156)</f>
        <v>002.001.001.002.---.---</v>
      </c>
      <c r="L156" s="8">
        <v>1</v>
      </c>
      <c r="M156" s="8">
        <f>CustomFuncGetLevel(E156,F156,G156,H156,I156)</f>
        <v>4</v>
      </c>
      <c r="N156" s="8" t="b">
        <f>AND(J156&lt;&gt;"",ISNUMBER(J156))</f>
        <v>0</v>
      </c>
      <c r="O156" s="8" t="b">
        <f>NOT(OR(AB156="削除",AB156="移管済",AB156="棚上げ",AB156="却下"))</f>
        <v>1</v>
      </c>
      <c r="P156" s="8" t="b">
        <v>1</v>
      </c>
      <c r="Q156" s="8" t="b">
        <v>1</v>
      </c>
      <c r="R156" s="8" t="str">
        <f>CustomFormatWbsId(B156,E156,F156,G156,H156,I156,J156)</f>
        <v>2.1.1.2</v>
      </c>
      <c r="S156" s="2"/>
      <c r="T156" s="2"/>
      <c r="U156" s="2"/>
      <c r="V156" s="2"/>
      <c r="W156" s="2"/>
      <c r="X156" s="2"/>
      <c r="Y156" s="2"/>
      <c r="Z156" s="7">
        <v>9</v>
      </c>
      <c r="AA156" s="7">
        <v>1</v>
      </c>
      <c r="AB156" s="1" t="s">
        <v>79</v>
      </c>
      <c r="AC156" s="1">
        <v>0.62126984126984131</v>
      </c>
      <c r="AD156" s="3">
        <v>0.6360000032186508</v>
      </c>
      <c r="AE156" s="1">
        <v>1</v>
      </c>
      <c r="AF156" s="1" t="s">
        <v>79</v>
      </c>
      <c r="AG156" s="1" t="s">
        <v>79</v>
      </c>
      <c r="AH156" s="4"/>
      <c r="AI156" s="1">
        <v>12</v>
      </c>
      <c r="AJ156" s="1"/>
      <c r="AK156" s="1"/>
      <c r="AL156" s="1">
        <v>8</v>
      </c>
      <c r="AM156" s="1">
        <v>12</v>
      </c>
      <c r="AN156" s="1"/>
      <c r="AO156" s="1"/>
      <c r="AP156" s="1" t="s">
        <v>79</v>
      </c>
      <c r="AQ156" s="1" t="s">
        <v>79</v>
      </c>
      <c r="AR156" s="2"/>
    </row>
    <row r="157" spans="2:44" ht="18" customHeight="1">
      <c r="B157" s="17"/>
      <c r="C157" s="1" t="s">
        <v>1</v>
      </c>
      <c r="D157" s="1" t="s">
        <v>1</v>
      </c>
      <c r="E157" s="1">
        <v>2</v>
      </c>
      <c r="F157" s="1">
        <v>1</v>
      </c>
      <c r="G157" s="1">
        <v>1</v>
      </c>
      <c r="H157" s="1">
        <v>2</v>
      </c>
      <c r="I157" s="1"/>
      <c r="J157" s="1">
        <v>1</v>
      </c>
      <c r="K157" s="8" t="str">
        <f>CustomFormatWbsIdx(B157,E157,F157,G157,H157,I157,J157)</f>
        <v>002.001.001.002.---.001</v>
      </c>
      <c r="L157" s="8">
        <v>1</v>
      </c>
      <c r="M157" s="8">
        <f>CustomFuncGetLevel(E157,F157,G157,H157,I157)</f>
        <v>4</v>
      </c>
      <c r="N157" s="8" t="b">
        <f>AND(J157&lt;&gt;"",ISNUMBER(J157))</f>
        <v>1</v>
      </c>
      <c r="O157" s="8" t="b">
        <f>NOT(OR(AB157="削除",AB157="移管済",AB157="棚上げ",AB157="却下"))</f>
        <v>1</v>
      </c>
      <c r="P157" s="8" t="b">
        <v>1</v>
      </c>
      <c r="Q157" s="8" t="b">
        <v>0</v>
      </c>
      <c r="R157" s="8" t="str">
        <f>CustomFormatWbsId(B157,E157,F157,G157,H157,I157,J157)</f>
        <v>2.1.1.2.T1</v>
      </c>
      <c r="S157" s="2"/>
      <c r="T157" s="2"/>
      <c r="U157" s="2"/>
      <c r="V157" s="2"/>
      <c r="W157" s="2"/>
      <c r="X157" s="2" t="s">
        <v>67</v>
      </c>
      <c r="Y157" s="2"/>
      <c r="Z157" s="7">
        <v>1</v>
      </c>
      <c r="AA157" s="7">
        <v>1</v>
      </c>
      <c r="AB157" s="1" t="s">
        <v>32</v>
      </c>
      <c r="AC157" s="1">
        <v>1</v>
      </c>
      <c r="AD157" s="3">
        <v>1</v>
      </c>
      <c r="AE157" s="1">
        <v>1</v>
      </c>
      <c r="AF157" s="1" t="s">
        <v>79</v>
      </c>
      <c r="AG157" s="1" t="s">
        <v>79</v>
      </c>
      <c r="AH157" s="4"/>
      <c r="AI157" s="1">
        <v>2.5</v>
      </c>
      <c r="AJ157" s="1"/>
      <c r="AK157" s="1"/>
      <c r="AL157" s="1">
        <v>0</v>
      </c>
      <c r="AM157" s="1">
        <v>1.5</v>
      </c>
      <c r="AN157" s="1"/>
      <c r="AO157" s="1"/>
      <c r="AP157" s="1" t="s">
        <v>79</v>
      </c>
      <c r="AQ157" s="1" t="s">
        <v>79</v>
      </c>
      <c r="AR157" s="2"/>
    </row>
    <row r="158" spans="2:44" ht="18" customHeight="1">
      <c r="B158" s="17"/>
      <c r="C158" s="1" t="s">
        <v>1</v>
      </c>
      <c r="D158" s="1" t="s">
        <v>1</v>
      </c>
      <c r="E158" s="1">
        <v>2</v>
      </c>
      <c r="F158" s="1">
        <v>1</v>
      </c>
      <c r="G158" s="1">
        <v>1</v>
      </c>
      <c r="H158" s="1">
        <v>2</v>
      </c>
      <c r="I158" s="1"/>
      <c r="J158" s="1">
        <v>2</v>
      </c>
      <c r="K158" s="8" t="str">
        <f>CustomFormatWbsIdx(B158,E158,F158,G158,H158,I158,J158)</f>
        <v>002.001.001.002.---.002</v>
      </c>
      <c r="L158" s="8">
        <v>1</v>
      </c>
      <c r="M158" s="8">
        <f>CustomFuncGetLevel(E158,F158,G158,H158,I158)</f>
        <v>4</v>
      </c>
      <c r="N158" s="8" t="b">
        <f>AND(J158&lt;&gt;"",ISNUMBER(J158))</f>
        <v>1</v>
      </c>
      <c r="O158" s="8" t="b">
        <f>NOT(OR(AB158="削除",AB158="移管済",AB158="棚上げ",AB158="却下"))</f>
        <v>1</v>
      </c>
      <c r="P158" s="8" t="b">
        <v>1</v>
      </c>
      <c r="Q158" s="8" t="b">
        <v>0</v>
      </c>
      <c r="R158" s="8" t="str">
        <f>CustomFormatWbsId(B158,E158,F158,G158,H158,I158,J158)</f>
        <v>2.1.1.2.T2</v>
      </c>
      <c r="S158" s="2"/>
      <c r="T158" s="2"/>
      <c r="U158" s="2"/>
      <c r="V158" s="2"/>
      <c r="W158" s="2"/>
      <c r="X158" s="2" t="s">
        <v>68</v>
      </c>
      <c r="Y158" s="2"/>
      <c r="Z158" s="7">
        <v>1</v>
      </c>
      <c r="AA158" s="7">
        <v>0</v>
      </c>
      <c r="AB158" s="1" t="s">
        <v>84</v>
      </c>
      <c r="AC158" s="1">
        <v>0.5714285714285714</v>
      </c>
      <c r="AD158" s="3">
        <v>0.60000002384185791</v>
      </c>
      <c r="AE158" s="1">
        <v>1</v>
      </c>
      <c r="AF158" s="1" t="s">
        <v>79</v>
      </c>
      <c r="AG158" s="1" t="s">
        <v>79</v>
      </c>
      <c r="AH158" s="4"/>
      <c r="AI158" s="1">
        <v>0.5</v>
      </c>
      <c r="AJ158" s="1"/>
      <c r="AK158" s="1"/>
      <c r="AL158" s="1">
        <v>1.5</v>
      </c>
      <c r="AM158" s="1">
        <v>2</v>
      </c>
      <c r="AN158" s="1"/>
      <c r="AO158" s="1"/>
      <c r="AP158" s="1" t="s">
        <v>79</v>
      </c>
      <c r="AQ158" s="1" t="s">
        <v>79</v>
      </c>
      <c r="AR158" s="2"/>
    </row>
    <row r="159" spans="2:44" ht="18" customHeight="1">
      <c r="B159" s="17"/>
      <c r="C159" s="1" t="s">
        <v>1</v>
      </c>
      <c r="D159" s="1" t="s">
        <v>1</v>
      </c>
      <c r="E159" s="1">
        <v>2</v>
      </c>
      <c r="F159" s="1">
        <v>1</v>
      </c>
      <c r="G159" s="1">
        <v>1</v>
      </c>
      <c r="H159" s="1">
        <v>2</v>
      </c>
      <c r="I159" s="1"/>
      <c r="J159" s="1">
        <v>3</v>
      </c>
      <c r="K159" s="8" t="str">
        <f>CustomFormatWbsIdx(B159,E159,F159,G159,H159,I159,J159)</f>
        <v>002.001.001.002.---.003</v>
      </c>
      <c r="L159" s="8">
        <v>1</v>
      </c>
      <c r="M159" s="8">
        <f>CustomFuncGetLevel(E159,F159,G159,H159,I159)</f>
        <v>4</v>
      </c>
      <c r="N159" s="8" t="b">
        <f>AND(J159&lt;&gt;"",ISNUMBER(J159))</f>
        <v>1</v>
      </c>
      <c r="O159" s="8" t="b">
        <f>NOT(OR(AB159="削除",AB159="移管済",AB159="棚上げ",AB159="却下"))</f>
        <v>1</v>
      </c>
      <c r="P159" s="8" t="b">
        <v>1</v>
      </c>
      <c r="Q159" s="8" t="b">
        <v>0</v>
      </c>
      <c r="R159" s="8" t="str">
        <f>CustomFormatWbsId(B159,E159,F159,G159,H159,I159,J159)</f>
        <v>2.1.1.2.T3</v>
      </c>
      <c r="S159" s="2"/>
      <c r="T159" s="2"/>
      <c r="U159" s="2"/>
      <c r="V159" s="2"/>
      <c r="W159" s="2"/>
      <c r="X159" s="2" t="s">
        <v>69</v>
      </c>
      <c r="Y159" s="2"/>
      <c r="Z159" s="7">
        <v>1</v>
      </c>
      <c r="AA159" s="7">
        <v>0</v>
      </c>
      <c r="AB159" s="1" t="s">
        <v>79</v>
      </c>
      <c r="AC159" s="1">
        <v>0.4</v>
      </c>
      <c r="AD159" s="3">
        <v>0.89999997615814209</v>
      </c>
      <c r="AE159" s="1">
        <v>1</v>
      </c>
      <c r="AF159" s="1" t="s">
        <v>79</v>
      </c>
      <c r="AG159" s="1" t="s">
        <v>79</v>
      </c>
      <c r="AH159" s="4"/>
      <c r="AI159" s="1">
        <v>0</v>
      </c>
      <c r="AJ159" s="1"/>
      <c r="AK159" s="1"/>
      <c r="AL159" s="1">
        <v>1.5</v>
      </c>
      <c r="AM159" s="1">
        <v>1</v>
      </c>
      <c r="AN159" s="1"/>
      <c r="AO159" s="1"/>
      <c r="AP159" s="1" t="s">
        <v>79</v>
      </c>
      <c r="AQ159" s="1" t="s">
        <v>79</v>
      </c>
      <c r="AR159" s="2"/>
    </row>
    <row r="160" spans="2:44" ht="18" customHeight="1">
      <c r="B160" s="17"/>
      <c r="C160" s="1" t="s">
        <v>1</v>
      </c>
      <c r="D160" s="1" t="s">
        <v>1</v>
      </c>
      <c r="E160" s="1">
        <v>2</v>
      </c>
      <c r="F160" s="1">
        <v>1</v>
      </c>
      <c r="G160" s="1">
        <v>1</v>
      </c>
      <c r="H160" s="1">
        <v>2</v>
      </c>
      <c r="I160" s="1">
        <v>1</v>
      </c>
      <c r="J160" s="1"/>
      <c r="K160" s="8" t="str">
        <f>CustomFormatWbsIdx(B160,E160,F160,G160,H160,I160,J160)</f>
        <v>002.001.001.002.001.---</v>
      </c>
      <c r="L160" s="8">
        <v>1</v>
      </c>
      <c r="M160" s="8">
        <f>CustomFuncGetLevel(E160,F160,G160,H160,I160)</f>
        <v>5</v>
      </c>
      <c r="N160" s="8" t="b">
        <f>AND(J160&lt;&gt;"",ISNUMBER(J160))</f>
        <v>0</v>
      </c>
      <c r="O160" s="8" t="b">
        <f>NOT(OR(AB160="削除",AB160="移管済",AB160="棚上げ",AB160="却下"))</f>
        <v>1</v>
      </c>
      <c r="P160" s="8" t="b">
        <v>1</v>
      </c>
      <c r="Q160" s="8" t="b">
        <v>1</v>
      </c>
      <c r="R160" s="8" t="str">
        <f>CustomFormatWbsId(B160,E160,F160,G160,H160,I160,J160)</f>
        <v>2.1.1.2.1</v>
      </c>
      <c r="S160" s="2"/>
      <c r="T160" s="2"/>
      <c r="U160" s="2"/>
      <c r="V160" s="2"/>
      <c r="W160" s="2" t="s">
        <v>70</v>
      </c>
      <c r="X160" s="2"/>
      <c r="Y160" s="2"/>
      <c r="Z160" s="7">
        <v>3</v>
      </c>
      <c r="AA160" s="7">
        <v>0</v>
      </c>
      <c r="AB160" s="1" t="s">
        <v>79</v>
      </c>
      <c r="AC160" s="1">
        <v>0.33333333333333331</v>
      </c>
      <c r="AD160" s="3">
        <v>0.40000000596046448</v>
      </c>
      <c r="AE160" s="1">
        <v>1</v>
      </c>
      <c r="AF160" s="1" t="s">
        <v>79</v>
      </c>
      <c r="AG160" s="1" t="s">
        <v>79</v>
      </c>
      <c r="AH160" s="4"/>
      <c r="AI160" s="1">
        <v>5</v>
      </c>
      <c r="AJ160" s="1"/>
      <c r="AK160" s="1"/>
      <c r="AL160" s="1">
        <v>3</v>
      </c>
      <c r="AM160" s="1">
        <v>2.5</v>
      </c>
      <c r="AN160" s="1"/>
      <c r="AO160" s="1"/>
      <c r="AP160" s="1" t="s">
        <v>79</v>
      </c>
      <c r="AQ160" s="1" t="s">
        <v>79</v>
      </c>
      <c r="AR160" s="2"/>
    </row>
    <row r="161" spans="2:44" ht="18" customHeight="1">
      <c r="B161" s="17"/>
      <c r="C161" s="1" t="s">
        <v>1</v>
      </c>
      <c r="D161" s="1" t="s">
        <v>1</v>
      </c>
      <c r="E161" s="1">
        <v>2</v>
      </c>
      <c r="F161" s="1">
        <v>1</v>
      </c>
      <c r="G161" s="1">
        <v>1</v>
      </c>
      <c r="H161" s="1">
        <v>2</v>
      </c>
      <c r="I161" s="1">
        <v>1</v>
      </c>
      <c r="J161" s="1">
        <v>1</v>
      </c>
      <c r="K161" s="8" t="str">
        <f>CustomFormatWbsIdx(B161,E161,F161,G161,H161,I161,J161)</f>
        <v>002.001.001.002.001.001</v>
      </c>
      <c r="L161" s="8">
        <v>1</v>
      </c>
      <c r="M161" s="8">
        <f>CustomFuncGetLevel(E161,F161,G161,H161,I161)</f>
        <v>5</v>
      </c>
      <c r="N161" s="8" t="b">
        <f>AND(J161&lt;&gt;"",ISNUMBER(J161))</f>
        <v>1</v>
      </c>
      <c r="O161" s="8" t="b">
        <f>NOT(OR(AB161="削除",AB161="移管済",AB161="棚上げ",AB161="却下"))</f>
        <v>1</v>
      </c>
      <c r="P161" s="8" t="b">
        <v>1</v>
      </c>
      <c r="Q161" s="8" t="b">
        <v>0</v>
      </c>
      <c r="R161" s="8" t="str">
        <f>CustomFormatWbsId(B161,E161,F161,G161,H161,I161,J161)</f>
        <v>2.1.1.2.1.T1</v>
      </c>
      <c r="S161" s="2"/>
      <c r="T161" s="2"/>
      <c r="U161" s="2"/>
      <c r="V161" s="2"/>
      <c r="W161" s="2"/>
      <c r="X161" s="2" t="s">
        <v>71</v>
      </c>
      <c r="Y161" s="2"/>
      <c r="Z161" s="7">
        <v>1</v>
      </c>
      <c r="AA161" s="7">
        <v>0</v>
      </c>
      <c r="AB161" s="1" t="s">
        <v>79</v>
      </c>
      <c r="AC161" s="1">
        <v>0.5</v>
      </c>
      <c r="AD161" s="3">
        <v>0</v>
      </c>
      <c r="AE161" s="1">
        <v>2</v>
      </c>
      <c r="AF161" s="1" t="s">
        <v>79</v>
      </c>
      <c r="AG161" s="1" t="s">
        <v>79</v>
      </c>
      <c r="AH161" s="4"/>
      <c r="AI161" s="1">
        <v>2</v>
      </c>
      <c r="AJ161" s="1"/>
      <c r="AK161" s="1"/>
      <c r="AL161" s="1">
        <v>1</v>
      </c>
      <c r="AM161" s="1">
        <v>1</v>
      </c>
      <c r="AN161" s="1"/>
      <c r="AO161" s="1"/>
      <c r="AP161" s="1" t="s">
        <v>79</v>
      </c>
      <c r="AQ161" s="1" t="s">
        <v>79</v>
      </c>
      <c r="AR161" s="2"/>
    </row>
    <row r="162" spans="2:44" ht="18" customHeight="1">
      <c r="B162" s="17"/>
      <c r="C162" s="1" t="s">
        <v>1</v>
      </c>
      <c r="D162" s="1" t="s">
        <v>1</v>
      </c>
      <c r="E162" s="1">
        <v>2</v>
      </c>
      <c r="F162" s="1">
        <v>1</v>
      </c>
      <c r="G162" s="1">
        <v>1</v>
      </c>
      <c r="H162" s="1">
        <v>2</v>
      </c>
      <c r="I162" s="1">
        <v>1</v>
      </c>
      <c r="J162" s="1">
        <v>2</v>
      </c>
      <c r="K162" s="8" t="str">
        <f>CustomFormatWbsIdx(B162,E162,F162,G162,H162,I162,J162)</f>
        <v>002.001.001.002.001.002</v>
      </c>
      <c r="L162" s="8">
        <v>1</v>
      </c>
      <c r="M162" s="8">
        <f>CustomFuncGetLevel(E162,F162,G162,H162,I162)</f>
        <v>5</v>
      </c>
      <c r="N162" s="8" t="b">
        <f>AND(J162&lt;&gt;"",ISNUMBER(J162))</f>
        <v>1</v>
      </c>
      <c r="O162" s="8" t="b">
        <f>NOT(OR(AB162="削除",AB162="移管済",AB162="棚上げ",AB162="却下"))</f>
        <v>1</v>
      </c>
      <c r="P162" s="8" t="b">
        <v>1</v>
      </c>
      <c r="Q162" s="8" t="b">
        <v>0</v>
      </c>
      <c r="R162" s="8" t="str">
        <f>CustomFormatWbsId(B162,E162,F162,G162,H162,I162,J162)</f>
        <v>2.1.1.2.1.T2</v>
      </c>
      <c r="S162" s="2"/>
      <c r="T162" s="2"/>
      <c r="U162" s="2"/>
      <c r="V162" s="2"/>
      <c r="W162" s="2"/>
      <c r="X162" s="2" t="s">
        <v>72</v>
      </c>
      <c r="Y162" s="2"/>
      <c r="Z162" s="7">
        <v>1</v>
      </c>
      <c r="AA162" s="7">
        <v>0</v>
      </c>
      <c r="AB162" s="1" t="s">
        <v>79</v>
      </c>
      <c r="AC162" s="1">
        <v>0.5</v>
      </c>
      <c r="AD162" s="3">
        <v>1</v>
      </c>
      <c r="AE162" s="1">
        <v>1</v>
      </c>
      <c r="AF162" s="1" t="s">
        <v>79</v>
      </c>
      <c r="AG162" s="1" t="s">
        <v>79</v>
      </c>
      <c r="AH162" s="4"/>
      <c r="AI162" s="1">
        <v>2.5</v>
      </c>
      <c r="AJ162" s="1"/>
      <c r="AK162" s="1"/>
      <c r="AL162" s="1">
        <v>1.5</v>
      </c>
      <c r="AM162" s="1">
        <v>1.5</v>
      </c>
      <c r="AN162" s="1"/>
      <c r="AO162" s="1"/>
      <c r="AP162" s="1" t="s">
        <v>79</v>
      </c>
      <c r="AQ162" s="1" t="s">
        <v>79</v>
      </c>
      <c r="AR162" s="2"/>
    </row>
    <row r="163" spans="2:44" ht="18" customHeight="1">
      <c r="B163" s="17"/>
      <c r="C163" s="1" t="s">
        <v>1</v>
      </c>
      <c r="D163" s="1" t="s">
        <v>1</v>
      </c>
      <c r="E163" s="1">
        <v>2</v>
      </c>
      <c r="F163" s="1">
        <v>1</v>
      </c>
      <c r="G163" s="1">
        <v>1</v>
      </c>
      <c r="H163" s="1">
        <v>2</v>
      </c>
      <c r="I163" s="1">
        <v>1</v>
      </c>
      <c r="J163" s="1">
        <v>3</v>
      </c>
      <c r="K163" s="8" t="str">
        <f>CustomFormatWbsIdx(B163,E163,F163,G163,H163,I163,J163)</f>
        <v>002.001.001.002.001.003</v>
      </c>
      <c r="L163" s="8">
        <v>1</v>
      </c>
      <c r="M163" s="8">
        <f>CustomFuncGetLevel(E163,F163,G163,H163,I163)</f>
        <v>5</v>
      </c>
      <c r="N163" s="8" t="b">
        <f>AND(J163&lt;&gt;"",ISNUMBER(J163))</f>
        <v>1</v>
      </c>
      <c r="O163" s="8" t="b">
        <f>NOT(OR(AB163="削除",AB163="移管済",AB163="棚上げ",AB163="却下"))</f>
        <v>1</v>
      </c>
      <c r="P163" s="8" t="b">
        <v>1</v>
      </c>
      <c r="Q163" s="8" t="b">
        <v>0</v>
      </c>
      <c r="R163" s="8" t="str">
        <f>CustomFormatWbsId(B163,E163,F163,G163,H163,I163,J163)</f>
        <v>2.1.1.2.1.T3</v>
      </c>
      <c r="S163" s="2"/>
      <c r="T163" s="2"/>
      <c r="U163" s="2"/>
      <c r="V163" s="2"/>
      <c r="W163" s="2"/>
      <c r="X163" s="2"/>
      <c r="Y163" s="2"/>
      <c r="Z163" s="7">
        <v>1</v>
      </c>
      <c r="AA163" s="7">
        <v>0</v>
      </c>
      <c r="AB163" s="1" t="s">
        <v>79</v>
      </c>
      <c r="AC163" s="1">
        <v>0</v>
      </c>
      <c r="AD163" s="3">
        <v>0.60000002384185791</v>
      </c>
      <c r="AE163" s="1">
        <v>1</v>
      </c>
      <c r="AF163" s="1" t="s">
        <v>79</v>
      </c>
      <c r="AG163" s="1" t="s">
        <v>79</v>
      </c>
      <c r="AH163" s="4"/>
      <c r="AI163" s="1">
        <v>0.5</v>
      </c>
      <c r="AJ163" s="1"/>
      <c r="AK163" s="1"/>
      <c r="AL163" s="1">
        <v>0.5</v>
      </c>
      <c r="AM163" s="1">
        <v>0</v>
      </c>
      <c r="AN163" s="1"/>
      <c r="AO163" s="1"/>
      <c r="AP163" s="1" t="s">
        <v>79</v>
      </c>
      <c r="AQ163" s="1" t="s">
        <v>79</v>
      </c>
      <c r="AR163" s="2"/>
    </row>
    <row r="164" spans="2:44" ht="18" customHeight="1">
      <c r="B164" s="17"/>
      <c r="C164" s="1" t="s">
        <v>1</v>
      </c>
      <c r="D164" s="1" t="s">
        <v>1</v>
      </c>
      <c r="E164" s="1">
        <v>2</v>
      </c>
      <c r="F164" s="1">
        <v>1</v>
      </c>
      <c r="G164" s="1">
        <v>1</v>
      </c>
      <c r="H164" s="1">
        <v>2</v>
      </c>
      <c r="I164" s="1">
        <v>2</v>
      </c>
      <c r="J164" s="1"/>
      <c r="K164" s="8" t="str">
        <f>CustomFormatWbsIdx(B164,E164,F164,G164,H164,I164,J164)</f>
        <v>002.001.001.002.002.---</v>
      </c>
      <c r="L164" s="8">
        <v>1</v>
      </c>
      <c r="M164" s="8">
        <f>CustomFuncGetLevel(E164,F164,G164,H164,I164)</f>
        <v>5</v>
      </c>
      <c r="N164" s="8" t="b">
        <f>AND(J164&lt;&gt;"",ISNUMBER(J164))</f>
        <v>0</v>
      </c>
      <c r="O164" s="8" t="b">
        <f>NOT(OR(AB164="削除",AB164="移管済",AB164="棚上げ",AB164="却下"))</f>
        <v>1</v>
      </c>
      <c r="P164" s="8" t="b">
        <v>1</v>
      </c>
      <c r="Q164" s="8" t="b">
        <v>1</v>
      </c>
      <c r="R164" s="8" t="str">
        <f>CustomFormatWbsId(B164,E164,F164,G164,H164,I164,J164)</f>
        <v>2.1.1.2.2</v>
      </c>
      <c r="S164" s="2"/>
      <c r="T164" s="2"/>
      <c r="U164" s="2"/>
      <c r="V164" s="2"/>
      <c r="W164" s="2"/>
      <c r="X164" s="2"/>
      <c r="Y164" s="2"/>
      <c r="Z164" s="7">
        <v>3</v>
      </c>
      <c r="AA164" s="7">
        <v>0</v>
      </c>
      <c r="AB164" s="1" t="s">
        <v>79</v>
      </c>
      <c r="AC164" s="1">
        <v>0.80158730158730152</v>
      </c>
      <c r="AD164" s="3">
        <v>0.28000001013278963</v>
      </c>
      <c r="AE164" s="1">
        <v>1</v>
      </c>
      <c r="AF164" s="1" t="s">
        <v>79</v>
      </c>
      <c r="AG164" s="1" t="s">
        <v>79</v>
      </c>
      <c r="AH164" s="4"/>
      <c r="AI164" s="1">
        <v>4</v>
      </c>
      <c r="AJ164" s="1"/>
      <c r="AK164" s="1"/>
      <c r="AL164" s="1">
        <v>2</v>
      </c>
      <c r="AM164" s="1">
        <v>5</v>
      </c>
      <c r="AN164" s="1"/>
      <c r="AO164" s="1"/>
      <c r="AP164" s="1" t="s">
        <v>79</v>
      </c>
      <c r="AQ164" s="1" t="s">
        <v>79</v>
      </c>
      <c r="AR164" s="2"/>
    </row>
    <row r="165" spans="2:44" ht="18" customHeight="1">
      <c r="B165" s="17"/>
      <c r="C165" s="1" t="s">
        <v>1</v>
      </c>
      <c r="D165" s="1" t="s">
        <v>1</v>
      </c>
      <c r="E165" s="1">
        <v>2</v>
      </c>
      <c r="F165" s="1">
        <v>1</v>
      </c>
      <c r="G165" s="1">
        <v>1</v>
      </c>
      <c r="H165" s="1">
        <v>2</v>
      </c>
      <c r="I165" s="1">
        <v>2</v>
      </c>
      <c r="J165" s="1">
        <v>1</v>
      </c>
      <c r="K165" s="8" t="str">
        <f>CustomFormatWbsIdx(B165,E165,F165,G165,H165,I165,J165)</f>
        <v>002.001.001.002.002.001</v>
      </c>
      <c r="L165" s="8">
        <v>1</v>
      </c>
      <c r="M165" s="8">
        <f>CustomFuncGetLevel(E165,F165,G165,H165,I165)</f>
        <v>5</v>
      </c>
      <c r="N165" s="8" t="b">
        <f>AND(J165&lt;&gt;"",ISNUMBER(J165))</f>
        <v>1</v>
      </c>
      <c r="O165" s="8" t="b">
        <f>NOT(OR(AB165="削除",AB165="移管済",AB165="棚上げ",AB165="却下"))</f>
        <v>1</v>
      </c>
      <c r="P165" s="8" t="b">
        <v>1</v>
      </c>
      <c r="Q165" s="8" t="b">
        <v>0</v>
      </c>
      <c r="R165" s="8" t="str">
        <f>CustomFormatWbsId(B165,E165,F165,G165,H165,I165,J165)</f>
        <v>2.1.1.2.2.T1</v>
      </c>
      <c r="S165" s="2"/>
      <c r="T165" s="2"/>
      <c r="U165" s="2"/>
      <c r="V165" s="2"/>
      <c r="W165" s="2"/>
      <c r="X165" s="2" t="s">
        <v>71</v>
      </c>
      <c r="Y165" s="2"/>
      <c r="Z165" s="7">
        <v>1</v>
      </c>
      <c r="AA165" s="7">
        <v>0</v>
      </c>
      <c r="AB165" s="1" t="s">
        <v>79</v>
      </c>
      <c r="AC165" s="1">
        <v>0.5714285714285714</v>
      </c>
      <c r="AD165" s="3">
        <v>0.10000000149011612</v>
      </c>
      <c r="AE165" s="1">
        <v>2</v>
      </c>
      <c r="AF165" s="1" t="s">
        <v>79</v>
      </c>
      <c r="AG165" s="1" t="s">
        <v>79</v>
      </c>
      <c r="AH165" s="4"/>
      <c r="AI165" s="1">
        <v>1.5</v>
      </c>
      <c r="AJ165" s="1"/>
      <c r="AK165" s="1"/>
      <c r="AL165" s="1">
        <v>1.5</v>
      </c>
      <c r="AM165" s="1">
        <v>2</v>
      </c>
      <c r="AN165" s="1"/>
      <c r="AO165" s="1"/>
      <c r="AP165" s="1" t="s">
        <v>79</v>
      </c>
      <c r="AQ165" s="1" t="s">
        <v>79</v>
      </c>
      <c r="AR165" s="2"/>
    </row>
    <row r="166" spans="2:44" ht="18" customHeight="1">
      <c r="B166" s="17"/>
      <c r="C166" s="1" t="s">
        <v>1</v>
      </c>
      <c r="D166" s="1" t="s">
        <v>1</v>
      </c>
      <c r="E166" s="1">
        <v>2</v>
      </c>
      <c r="F166" s="1">
        <v>1</v>
      </c>
      <c r="G166" s="1">
        <v>1</v>
      </c>
      <c r="H166" s="1">
        <v>2</v>
      </c>
      <c r="I166" s="1">
        <v>2</v>
      </c>
      <c r="J166" s="1">
        <v>2</v>
      </c>
      <c r="K166" s="8" t="str">
        <f>CustomFormatWbsIdx(B166,E166,F166,G166,H166,I166,J166)</f>
        <v>002.001.001.002.002.002</v>
      </c>
      <c r="L166" s="8">
        <v>1</v>
      </c>
      <c r="M166" s="8">
        <f>CustomFuncGetLevel(E166,F166,G166,H166,I166)</f>
        <v>5</v>
      </c>
      <c r="N166" s="8" t="b">
        <f>AND(J166&lt;&gt;"",ISNUMBER(J166))</f>
        <v>1</v>
      </c>
      <c r="O166" s="8" t="b">
        <f>NOT(OR(AB166="削除",AB166="移管済",AB166="棚上げ",AB166="却下"))</f>
        <v>1</v>
      </c>
      <c r="P166" s="8" t="b">
        <v>1</v>
      </c>
      <c r="Q166" s="8" t="b">
        <v>0</v>
      </c>
      <c r="R166" s="8" t="str">
        <f>CustomFormatWbsId(B166,E166,F166,G166,H166,I166,J166)</f>
        <v>2.1.1.2.2.T2</v>
      </c>
      <c r="S166" s="2"/>
      <c r="T166" s="2"/>
      <c r="U166" s="2"/>
      <c r="V166" s="2"/>
      <c r="W166" s="2"/>
      <c r="X166" s="2" t="s">
        <v>72</v>
      </c>
      <c r="Y166" s="2"/>
      <c r="Z166" s="7">
        <v>1</v>
      </c>
      <c r="AA166" s="7">
        <v>0</v>
      </c>
      <c r="AB166" s="1" t="s">
        <v>79</v>
      </c>
      <c r="AC166" s="1">
        <v>1</v>
      </c>
      <c r="AD166" s="3">
        <v>0</v>
      </c>
      <c r="AE166" s="1">
        <v>1</v>
      </c>
      <c r="AF166" s="1" t="s">
        <v>79</v>
      </c>
      <c r="AG166" s="1" t="s">
        <v>79</v>
      </c>
      <c r="AH166" s="4"/>
      <c r="AI166" s="1">
        <v>1</v>
      </c>
      <c r="AJ166" s="1"/>
      <c r="AK166" s="1"/>
      <c r="AL166" s="1">
        <v>0</v>
      </c>
      <c r="AM166" s="1">
        <v>0.5</v>
      </c>
      <c r="AN166" s="1"/>
      <c r="AO166" s="1"/>
      <c r="AP166" s="1" t="s">
        <v>79</v>
      </c>
      <c r="AQ166" s="1" t="s">
        <v>79</v>
      </c>
      <c r="AR166" s="2"/>
    </row>
    <row r="167" spans="2:44" ht="18" customHeight="1">
      <c r="B167" s="17"/>
      <c r="C167" s="1" t="s">
        <v>1</v>
      </c>
      <c r="D167" s="1" t="s">
        <v>1</v>
      </c>
      <c r="E167" s="1">
        <v>2</v>
      </c>
      <c r="F167" s="1">
        <v>1</v>
      </c>
      <c r="G167" s="1">
        <v>1</v>
      </c>
      <c r="H167" s="1">
        <v>2</v>
      </c>
      <c r="I167" s="1">
        <v>2</v>
      </c>
      <c r="J167" s="1">
        <v>3</v>
      </c>
      <c r="K167" s="8" t="str">
        <f>CustomFormatWbsIdx(B167,E167,F167,G167,H167,I167,J167)</f>
        <v>002.001.001.002.002.003</v>
      </c>
      <c r="L167" s="8">
        <v>1</v>
      </c>
      <c r="M167" s="8">
        <f>CustomFuncGetLevel(E167,F167,G167,H167,I167)</f>
        <v>5</v>
      </c>
      <c r="N167" s="8" t="b">
        <f>AND(J167&lt;&gt;"",ISNUMBER(J167))</f>
        <v>1</v>
      </c>
      <c r="O167" s="8" t="b">
        <f>NOT(OR(AB167="削除",AB167="移管済",AB167="棚上げ",AB167="却下"))</f>
        <v>1</v>
      </c>
      <c r="P167" s="8" t="b">
        <v>1</v>
      </c>
      <c r="Q167" s="8" t="b">
        <v>0</v>
      </c>
      <c r="R167" s="8" t="str">
        <f>CustomFormatWbsId(B167,E167,F167,G167,H167,I167,J167)</f>
        <v>2.1.1.2.2.T3</v>
      </c>
      <c r="S167" s="2"/>
      <c r="T167" s="2"/>
      <c r="U167" s="2"/>
      <c r="V167" s="2"/>
      <c r="W167" s="2"/>
      <c r="X167" s="2"/>
      <c r="Y167" s="2"/>
      <c r="Z167" s="7">
        <v>1</v>
      </c>
      <c r="AA167" s="7">
        <v>0</v>
      </c>
      <c r="AB167" s="1" t="s">
        <v>79</v>
      </c>
      <c r="AC167" s="1">
        <v>0.83333333333333337</v>
      </c>
      <c r="AD167" s="3">
        <v>0.60000002384185791</v>
      </c>
      <c r="AE167" s="1">
        <v>2</v>
      </c>
      <c r="AF167" s="1" t="s">
        <v>79</v>
      </c>
      <c r="AG167" s="1" t="s">
        <v>79</v>
      </c>
      <c r="AH167" s="4"/>
      <c r="AI167" s="1">
        <v>1.5</v>
      </c>
      <c r="AJ167" s="1"/>
      <c r="AK167" s="1"/>
      <c r="AL167" s="1">
        <v>0.5</v>
      </c>
      <c r="AM167" s="1">
        <v>2.5</v>
      </c>
      <c r="AN167" s="1"/>
      <c r="AO167" s="1"/>
      <c r="AP167" s="1" t="s">
        <v>79</v>
      </c>
      <c r="AQ167" s="1" t="s">
        <v>79</v>
      </c>
      <c r="AR167" s="2"/>
    </row>
    <row r="168" spans="2:44" ht="18" customHeight="1">
      <c r="B168" s="17"/>
      <c r="C168" s="1" t="s">
        <v>1</v>
      </c>
      <c r="D168" s="1" t="s">
        <v>1</v>
      </c>
      <c r="E168" s="1">
        <v>2</v>
      </c>
      <c r="F168" s="1">
        <v>1</v>
      </c>
      <c r="G168" s="1">
        <v>2</v>
      </c>
      <c r="H168" s="1"/>
      <c r="I168" s="1"/>
      <c r="J168" s="1"/>
      <c r="K168" s="8" t="str">
        <f>CustomFormatWbsIdx(B168,E168,F168,G168,H168,I168,J168)</f>
        <v>002.001.002.---.---.---</v>
      </c>
      <c r="L168" s="8">
        <v>1</v>
      </c>
      <c r="M168" s="8">
        <f>CustomFuncGetLevel(E168,F168,G168,H168,I168)</f>
        <v>3</v>
      </c>
      <c r="N168" s="8" t="b">
        <f>AND(J168&lt;&gt;"",ISNUMBER(J168))</f>
        <v>0</v>
      </c>
      <c r="O168" s="8" t="b">
        <f>NOT(OR(AB168="削除",AB168="移管済",AB168="棚上げ",AB168="却下"))</f>
        <v>1</v>
      </c>
      <c r="P168" s="8" t="b">
        <v>1</v>
      </c>
      <c r="Q168" s="8" t="b">
        <v>1</v>
      </c>
      <c r="R168" s="8" t="str">
        <f>CustomFormatWbsId(B168,E168,F168,G168,H168,I168,J168)</f>
        <v>2.1.2</v>
      </c>
      <c r="S168" s="2"/>
      <c r="T168" s="2"/>
      <c r="U168" s="2"/>
      <c r="V168" s="2"/>
      <c r="W168" s="2"/>
      <c r="X168" s="2"/>
      <c r="Y168" s="2"/>
      <c r="Z168" s="7">
        <v>20</v>
      </c>
      <c r="AA168" s="7">
        <v>2</v>
      </c>
      <c r="AB168" s="1" t="s">
        <v>79</v>
      </c>
      <c r="AC168" s="1">
        <v>0.45494047619047617</v>
      </c>
      <c r="AD168" s="3">
        <v>0.5682222277919452</v>
      </c>
      <c r="AE168" s="1">
        <v>1</v>
      </c>
      <c r="AF168" s="1" t="s">
        <v>79</v>
      </c>
      <c r="AG168" s="1" t="s">
        <v>79</v>
      </c>
      <c r="AH168" s="4"/>
      <c r="AI168" s="1">
        <v>25.5</v>
      </c>
      <c r="AJ168" s="1"/>
      <c r="AK168" s="1"/>
      <c r="AL168" s="1">
        <v>20</v>
      </c>
      <c r="AM168" s="1">
        <v>23.5</v>
      </c>
      <c r="AN168" s="1"/>
      <c r="AO168" s="1"/>
      <c r="AP168" s="1" t="s">
        <v>79</v>
      </c>
      <c r="AQ168" s="1" t="s">
        <v>79</v>
      </c>
      <c r="AR168" s="2"/>
    </row>
    <row r="169" spans="2:44" ht="18" customHeight="1">
      <c r="B169" s="17"/>
      <c r="C169" s="1" t="s">
        <v>1</v>
      </c>
      <c r="D169" s="1" t="s">
        <v>1</v>
      </c>
      <c r="E169" s="1">
        <v>2</v>
      </c>
      <c r="F169" s="1">
        <v>1</v>
      </c>
      <c r="G169" s="1">
        <v>2</v>
      </c>
      <c r="H169" s="1"/>
      <c r="I169" s="1"/>
      <c r="J169" s="1">
        <v>1</v>
      </c>
      <c r="K169" s="8" t="str">
        <f>CustomFormatWbsIdx(B169,E169,F169,G169,H169,I169,J169)</f>
        <v>002.001.002.---.---.001</v>
      </c>
      <c r="L169" s="8">
        <v>1</v>
      </c>
      <c r="M169" s="8">
        <f>CustomFuncGetLevel(E169,F169,G169,H169,I169)</f>
        <v>3</v>
      </c>
      <c r="N169" s="8" t="b">
        <f>AND(J169&lt;&gt;"",ISNUMBER(J169))</f>
        <v>1</v>
      </c>
      <c r="O169" s="8" t="b">
        <f>NOT(OR(AB169="削除",AB169="移管済",AB169="棚上げ",AB169="却下"))</f>
        <v>0</v>
      </c>
      <c r="P169" s="8" t="b">
        <v>1</v>
      </c>
      <c r="Q169" s="8" t="b">
        <v>0</v>
      </c>
      <c r="R169" s="8" t="str">
        <f>CustomFormatWbsId(B169,E169,F169,G169,H169,I169,J169)</f>
        <v>2.1.2.T1</v>
      </c>
      <c r="S169" s="2"/>
      <c r="T169" s="2"/>
      <c r="U169" s="2"/>
      <c r="V169" s="2"/>
      <c r="W169" s="2"/>
      <c r="X169" s="2" t="s">
        <v>63</v>
      </c>
      <c r="Y169" s="2"/>
      <c r="Z169" s="7">
        <v>1</v>
      </c>
      <c r="AA169" s="7">
        <v>0</v>
      </c>
      <c r="AB169" s="1" t="s">
        <v>82</v>
      </c>
      <c r="AC169" s="1">
        <v>0</v>
      </c>
      <c r="AD169" s="3">
        <v>0.80000001192092896</v>
      </c>
      <c r="AE169" s="1">
        <v>2</v>
      </c>
      <c r="AF169" s="1" t="s">
        <v>79</v>
      </c>
      <c r="AG169" s="1" t="s">
        <v>79</v>
      </c>
      <c r="AH169" s="4"/>
      <c r="AI169" s="1">
        <v>1</v>
      </c>
      <c r="AJ169" s="1"/>
      <c r="AK169" s="1"/>
      <c r="AL169" s="1">
        <v>2</v>
      </c>
      <c r="AM169" s="1">
        <v>0</v>
      </c>
      <c r="AN169" s="1"/>
      <c r="AO169" s="1"/>
      <c r="AP169" s="1" t="s">
        <v>79</v>
      </c>
      <c r="AQ169" s="1" t="s">
        <v>79</v>
      </c>
      <c r="AR169" s="2"/>
    </row>
    <row r="170" spans="2:44" ht="18" customHeight="1">
      <c r="B170" s="17"/>
      <c r="C170" s="1" t="s">
        <v>1</v>
      </c>
      <c r="D170" s="1" t="s">
        <v>1</v>
      </c>
      <c r="E170" s="1">
        <v>2</v>
      </c>
      <c r="F170" s="1">
        <v>1</v>
      </c>
      <c r="G170" s="1">
        <v>2</v>
      </c>
      <c r="H170" s="1"/>
      <c r="I170" s="1"/>
      <c r="J170" s="1">
        <v>2</v>
      </c>
      <c r="K170" s="8" t="str">
        <f>CustomFormatWbsIdx(B170,E170,F170,G170,H170,I170,J170)</f>
        <v>002.001.002.---.---.002</v>
      </c>
      <c r="L170" s="8">
        <v>1</v>
      </c>
      <c r="M170" s="8">
        <f>CustomFuncGetLevel(E170,F170,G170,H170,I170)</f>
        <v>3</v>
      </c>
      <c r="N170" s="8" t="b">
        <f>AND(J170&lt;&gt;"",ISNUMBER(J170))</f>
        <v>1</v>
      </c>
      <c r="O170" s="8" t="b">
        <f>NOT(OR(AB170="削除",AB170="移管済",AB170="棚上げ",AB170="却下"))</f>
        <v>1</v>
      </c>
      <c r="P170" s="8" t="b">
        <v>1</v>
      </c>
      <c r="Q170" s="8" t="b">
        <v>0</v>
      </c>
      <c r="R170" s="8" t="str">
        <f>CustomFormatWbsId(B170,E170,F170,G170,H170,I170,J170)</f>
        <v>2.1.2.T2</v>
      </c>
      <c r="S170" s="2"/>
      <c r="T170" s="2"/>
      <c r="U170" s="2"/>
      <c r="V170" s="2"/>
      <c r="W170" s="2"/>
      <c r="X170" s="2" t="s">
        <v>64</v>
      </c>
      <c r="Y170" s="2"/>
      <c r="Z170" s="7">
        <v>1</v>
      </c>
      <c r="AA170" s="7">
        <v>0</v>
      </c>
      <c r="AB170" s="1" t="s">
        <v>83</v>
      </c>
      <c r="AC170" s="1">
        <v>0.55555555555555558</v>
      </c>
      <c r="AD170" s="3">
        <v>0</v>
      </c>
      <c r="AE170" s="1">
        <v>1</v>
      </c>
      <c r="AF170" s="1" t="s">
        <v>79</v>
      </c>
      <c r="AG170" s="1" t="s">
        <v>79</v>
      </c>
      <c r="AH170" s="4"/>
      <c r="AI170" s="1">
        <v>0.5</v>
      </c>
      <c r="AJ170" s="1"/>
      <c r="AK170" s="1"/>
      <c r="AL170" s="1">
        <v>2</v>
      </c>
      <c r="AM170" s="1">
        <v>2.5</v>
      </c>
      <c r="AN170" s="1"/>
      <c r="AO170" s="1"/>
      <c r="AP170" s="1" t="s">
        <v>79</v>
      </c>
      <c r="AQ170" s="1" t="s">
        <v>79</v>
      </c>
      <c r="AR170" s="2"/>
    </row>
    <row r="171" spans="2:44" ht="18" customHeight="1">
      <c r="B171" s="17"/>
      <c r="C171" s="1" t="s">
        <v>1</v>
      </c>
      <c r="D171" s="1" t="s">
        <v>1</v>
      </c>
      <c r="E171" s="1">
        <v>2</v>
      </c>
      <c r="F171" s="1">
        <v>1</v>
      </c>
      <c r="G171" s="1">
        <v>2</v>
      </c>
      <c r="H171" s="1"/>
      <c r="I171" s="1"/>
      <c r="J171" s="1">
        <v>3</v>
      </c>
      <c r="K171" s="8" t="str">
        <f>CustomFormatWbsIdx(B171,E171,F171,G171,H171,I171,J171)</f>
        <v>002.001.002.---.---.003</v>
      </c>
      <c r="L171" s="8">
        <v>1</v>
      </c>
      <c r="M171" s="8">
        <f>CustomFuncGetLevel(E171,F171,G171,H171,I171)</f>
        <v>3</v>
      </c>
      <c r="N171" s="8" t="b">
        <f>AND(J171&lt;&gt;"",ISNUMBER(J171))</f>
        <v>1</v>
      </c>
      <c r="O171" s="8" t="b">
        <f>NOT(OR(AB171="削除",AB171="移管済",AB171="棚上げ",AB171="却下"))</f>
        <v>1</v>
      </c>
      <c r="P171" s="8" t="b">
        <v>1</v>
      </c>
      <c r="Q171" s="8" t="b">
        <v>0</v>
      </c>
      <c r="R171" s="8" t="str">
        <f>CustomFormatWbsId(B171,E171,F171,G171,H171,I171,J171)</f>
        <v>2.1.2.T3</v>
      </c>
      <c r="S171" s="2"/>
      <c r="T171" s="2"/>
      <c r="U171" s="2"/>
      <c r="V171" s="2"/>
      <c r="W171" s="2"/>
      <c r="X171" s="2" t="s">
        <v>65</v>
      </c>
      <c r="Y171" s="2"/>
      <c r="Z171" s="7">
        <v>1</v>
      </c>
      <c r="AA171" s="7">
        <v>0</v>
      </c>
      <c r="AB171" s="1" t="s">
        <v>79</v>
      </c>
      <c r="AC171" s="1">
        <v>0</v>
      </c>
      <c r="AD171" s="3">
        <v>0.30000001192092896</v>
      </c>
      <c r="AE171" s="1">
        <v>1</v>
      </c>
      <c r="AF171" s="1" t="s">
        <v>79</v>
      </c>
      <c r="AG171" s="1" t="s">
        <v>79</v>
      </c>
      <c r="AH171" s="4"/>
      <c r="AI171" s="1">
        <v>2</v>
      </c>
      <c r="AJ171" s="1"/>
      <c r="AK171" s="1"/>
      <c r="AL171" s="1">
        <v>2</v>
      </c>
      <c r="AM171" s="1">
        <v>0</v>
      </c>
      <c r="AN171" s="1"/>
      <c r="AO171" s="1"/>
      <c r="AP171" s="1" t="s">
        <v>79</v>
      </c>
      <c r="AQ171" s="1" t="s">
        <v>79</v>
      </c>
      <c r="AR171" s="2"/>
    </row>
    <row r="172" spans="2:44" ht="18" customHeight="1">
      <c r="B172" s="17"/>
      <c r="C172" s="1" t="s">
        <v>1</v>
      </c>
      <c r="D172" s="1" t="s">
        <v>1</v>
      </c>
      <c r="E172" s="1">
        <v>2</v>
      </c>
      <c r="F172" s="1">
        <v>1</v>
      </c>
      <c r="G172" s="1">
        <v>2</v>
      </c>
      <c r="H172" s="1">
        <v>1</v>
      </c>
      <c r="I172" s="1"/>
      <c r="J172" s="1"/>
      <c r="K172" s="8" t="str">
        <f>CustomFormatWbsIdx(B172,E172,F172,G172,H172,I172,J172)</f>
        <v>002.001.002.001.---.---</v>
      </c>
      <c r="L172" s="8">
        <v>1</v>
      </c>
      <c r="M172" s="8">
        <f>CustomFuncGetLevel(E172,F172,G172,H172,I172)</f>
        <v>4</v>
      </c>
      <c r="N172" s="8" t="b">
        <f>AND(J172&lt;&gt;"",ISNUMBER(J172))</f>
        <v>0</v>
      </c>
      <c r="O172" s="8" t="b">
        <f>NOT(OR(AB172="削除",AB172="移管済",AB172="棚上げ",AB172="却下"))</f>
        <v>1</v>
      </c>
      <c r="P172" s="8" t="b">
        <v>1</v>
      </c>
      <c r="Q172" s="8" t="b">
        <v>1</v>
      </c>
      <c r="R172" s="8" t="str">
        <f>CustomFormatWbsId(B172,E172,F172,G172,H172,I172,J172)</f>
        <v>2.1.2.1</v>
      </c>
      <c r="S172" s="2"/>
      <c r="T172" s="2"/>
      <c r="U172" s="2"/>
      <c r="V172" s="2" t="s">
        <v>66</v>
      </c>
      <c r="W172" s="2"/>
      <c r="X172" s="2"/>
      <c r="Y172" s="2"/>
      <c r="Z172" s="7">
        <v>9</v>
      </c>
      <c r="AA172" s="7">
        <v>1</v>
      </c>
      <c r="AB172" s="1" t="s">
        <v>79</v>
      </c>
      <c r="AC172" s="1">
        <v>0.64476190476190465</v>
      </c>
      <c r="AD172" s="3">
        <v>0.83200000643730176</v>
      </c>
      <c r="AE172" s="1">
        <v>3</v>
      </c>
      <c r="AF172" s="1" t="s">
        <v>79</v>
      </c>
      <c r="AG172" s="1" t="s">
        <v>79</v>
      </c>
      <c r="AH172" s="4"/>
      <c r="AI172" s="1">
        <v>10.5</v>
      </c>
      <c r="AJ172" s="1"/>
      <c r="AK172" s="1"/>
      <c r="AL172" s="1">
        <v>7</v>
      </c>
      <c r="AM172" s="1">
        <v>11</v>
      </c>
      <c r="AN172" s="1"/>
      <c r="AO172" s="1"/>
      <c r="AP172" s="1" t="s">
        <v>79</v>
      </c>
      <c r="AQ172" s="1" t="s">
        <v>79</v>
      </c>
      <c r="AR172" s="2"/>
    </row>
    <row r="173" spans="2:44" ht="18" customHeight="1">
      <c r="B173" s="17"/>
      <c r="C173" s="1" t="s">
        <v>1</v>
      </c>
      <c r="D173" s="1" t="s">
        <v>1</v>
      </c>
      <c r="E173" s="1">
        <v>2</v>
      </c>
      <c r="F173" s="1">
        <v>1</v>
      </c>
      <c r="G173" s="1">
        <v>2</v>
      </c>
      <c r="H173" s="1">
        <v>1</v>
      </c>
      <c r="I173" s="1"/>
      <c r="J173" s="1">
        <v>1</v>
      </c>
      <c r="K173" s="8" t="str">
        <f>CustomFormatWbsIdx(B173,E173,F173,G173,H173,I173,J173)</f>
        <v>002.001.002.001.---.001</v>
      </c>
      <c r="L173" s="8">
        <v>1</v>
      </c>
      <c r="M173" s="8">
        <f>CustomFuncGetLevel(E173,F173,G173,H173,I173)</f>
        <v>4</v>
      </c>
      <c r="N173" s="8" t="b">
        <f>AND(J173&lt;&gt;"",ISNUMBER(J173))</f>
        <v>1</v>
      </c>
      <c r="O173" s="8" t="b">
        <f>NOT(OR(AB173="削除",AB173="移管済",AB173="棚上げ",AB173="却下"))</f>
        <v>1</v>
      </c>
      <c r="P173" s="8" t="b">
        <v>1</v>
      </c>
      <c r="Q173" s="8" t="b">
        <v>0</v>
      </c>
      <c r="R173" s="8" t="str">
        <f>CustomFormatWbsId(B173,E173,F173,G173,H173,I173,J173)</f>
        <v>2.1.2.1.T1</v>
      </c>
      <c r="S173" s="2"/>
      <c r="T173" s="2"/>
      <c r="U173" s="2"/>
      <c r="V173" s="2"/>
      <c r="W173" s="2"/>
      <c r="X173" s="2" t="s">
        <v>67</v>
      </c>
      <c r="Y173" s="2"/>
      <c r="Z173" s="7">
        <v>1</v>
      </c>
      <c r="AA173" s="7">
        <v>1</v>
      </c>
      <c r="AB173" s="1" t="s">
        <v>32</v>
      </c>
      <c r="AC173" s="1">
        <v>1</v>
      </c>
      <c r="AD173" s="3">
        <v>1</v>
      </c>
      <c r="AE173" s="1">
        <v>1</v>
      </c>
      <c r="AF173" s="1" t="s">
        <v>79</v>
      </c>
      <c r="AG173" s="1" t="s">
        <v>79</v>
      </c>
      <c r="AH173" s="4"/>
      <c r="AI173" s="1">
        <v>0.5</v>
      </c>
      <c r="AJ173" s="1"/>
      <c r="AK173" s="1"/>
      <c r="AL173" s="1">
        <v>0</v>
      </c>
      <c r="AM173" s="1">
        <v>2.5</v>
      </c>
      <c r="AN173" s="1"/>
      <c r="AO173" s="1"/>
      <c r="AP173" s="1" t="s">
        <v>79</v>
      </c>
      <c r="AQ173" s="1" t="s">
        <v>79</v>
      </c>
      <c r="AR173" s="2"/>
    </row>
    <row r="174" spans="2:44" ht="18" customHeight="1">
      <c r="B174" s="17"/>
      <c r="C174" s="1" t="s">
        <v>1</v>
      </c>
      <c r="D174" s="1" t="s">
        <v>1</v>
      </c>
      <c r="E174" s="1">
        <v>2</v>
      </c>
      <c r="F174" s="1">
        <v>1</v>
      </c>
      <c r="G174" s="1">
        <v>2</v>
      </c>
      <c r="H174" s="1">
        <v>1</v>
      </c>
      <c r="I174" s="1"/>
      <c r="J174" s="1">
        <v>2</v>
      </c>
      <c r="K174" s="8" t="str">
        <f>CustomFormatWbsIdx(B174,E174,F174,G174,H174,I174,J174)</f>
        <v>002.001.002.001.---.002</v>
      </c>
      <c r="L174" s="8">
        <v>1</v>
      </c>
      <c r="M174" s="8">
        <f>CustomFuncGetLevel(E174,F174,G174,H174,I174)</f>
        <v>4</v>
      </c>
      <c r="N174" s="8" t="b">
        <f>AND(J174&lt;&gt;"",ISNUMBER(J174))</f>
        <v>1</v>
      </c>
      <c r="O174" s="8" t="b">
        <f>NOT(OR(AB174="削除",AB174="移管済",AB174="棚上げ",AB174="却下"))</f>
        <v>1</v>
      </c>
      <c r="P174" s="8" t="b">
        <v>1</v>
      </c>
      <c r="Q174" s="8" t="b">
        <v>0</v>
      </c>
      <c r="R174" s="8" t="str">
        <f>CustomFormatWbsId(B174,E174,F174,G174,H174,I174,J174)</f>
        <v>2.1.2.1.T2</v>
      </c>
      <c r="S174" s="2"/>
      <c r="T174" s="2"/>
      <c r="U174" s="2"/>
      <c r="V174" s="2"/>
      <c r="W174" s="2"/>
      <c r="X174" s="2" t="s">
        <v>68</v>
      </c>
      <c r="Y174" s="2"/>
      <c r="Z174" s="7">
        <v>1</v>
      </c>
      <c r="AA174" s="7">
        <v>0</v>
      </c>
      <c r="AB174" s="1" t="s">
        <v>84</v>
      </c>
      <c r="AC174" s="1">
        <v>1</v>
      </c>
      <c r="AD174" s="3">
        <v>1</v>
      </c>
      <c r="AE174" s="1">
        <v>1</v>
      </c>
      <c r="AF174" s="1" t="s">
        <v>79</v>
      </c>
      <c r="AG174" s="1" t="s">
        <v>79</v>
      </c>
      <c r="AH174" s="4"/>
      <c r="AI174" s="1">
        <v>1.5</v>
      </c>
      <c r="AJ174" s="1"/>
      <c r="AK174" s="1"/>
      <c r="AL174" s="1">
        <v>0</v>
      </c>
      <c r="AM174" s="1">
        <v>1.5</v>
      </c>
      <c r="AN174" s="1"/>
      <c r="AO174" s="1"/>
      <c r="AP174" s="1" t="s">
        <v>79</v>
      </c>
      <c r="AQ174" s="1" t="s">
        <v>79</v>
      </c>
      <c r="AR174" s="2"/>
    </row>
    <row r="175" spans="2:44" ht="18" customHeight="1">
      <c r="B175" s="17"/>
      <c r="C175" s="1" t="s">
        <v>1</v>
      </c>
      <c r="D175" s="1" t="s">
        <v>1</v>
      </c>
      <c r="E175" s="1">
        <v>2</v>
      </c>
      <c r="F175" s="1">
        <v>1</v>
      </c>
      <c r="G175" s="1">
        <v>2</v>
      </c>
      <c r="H175" s="1">
        <v>1</v>
      </c>
      <c r="I175" s="1"/>
      <c r="J175" s="1">
        <v>3</v>
      </c>
      <c r="K175" s="8" t="str">
        <f>CustomFormatWbsIdx(B175,E175,F175,G175,H175,I175,J175)</f>
        <v>002.001.002.001.---.003</v>
      </c>
      <c r="L175" s="8">
        <v>1</v>
      </c>
      <c r="M175" s="8">
        <f>CustomFuncGetLevel(E175,F175,G175,H175,I175)</f>
        <v>4</v>
      </c>
      <c r="N175" s="8" t="b">
        <f>AND(J175&lt;&gt;"",ISNUMBER(J175))</f>
        <v>1</v>
      </c>
      <c r="O175" s="8" t="b">
        <f>NOT(OR(AB175="削除",AB175="移管済",AB175="棚上げ",AB175="却下"))</f>
        <v>1</v>
      </c>
      <c r="P175" s="8" t="b">
        <v>1</v>
      </c>
      <c r="Q175" s="8" t="b">
        <v>0</v>
      </c>
      <c r="R175" s="8" t="str">
        <f>CustomFormatWbsId(B175,E175,F175,G175,H175,I175,J175)</f>
        <v>2.1.2.1.T3</v>
      </c>
      <c r="S175" s="2"/>
      <c r="T175" s="2"/>
      <c r="U175" s="2"/>
      <c r="V175" s="2"/>
      <c r="W175" s="2"/>
      <c r="X175" s="2" t="s">
        <v>69</v>
      </c>
      <c r="Y175" s="2"/>
      <c r="Z175" s="7">
        <v>1</v>
      </c>
      <c r="AA175" s="7">
        <v>0</v>
      </c>
      <c r="AB175" s="1" t="s">
        <v>79</v>
      </c>
      <c r="AC175" s="1">
        <v>0</v>
      </c>
      <c r="AD175" s="3">
        <v>1</v>
      </c>
      <c r="AE175" s="1">
        <v>1</v>
      </c>
      <c r="AF175" s="1" t="s">
        <v>79</v>
      </c>
      <c r="AG175" s="1" t="s">
        <v>79</v>
      </c>
      <c r="AH175" s="4"/>
      <c r="AI175" s="1">
        <v>0</v>
      </c>
      <c r="AJ175" s="1"/>
      <c r="AK175" s="1"/>
      <c r="AL175" s="1">
        <v>2.5</v>
      </c>
      <c r="AM175" s="1">
        <v>0</v>
      </c>
      <c r="AN175" s="1"/>
      <c r="AO175" s="1"/>
      <c r="AP175" s="1" t="s">
        <v>79</v>
      </c>
      <c r="AQ175" s="1" t="s">
        <v>79</v>
      </c>
      <c r="AR175" s="2"/>
    </row>
    <row r="176" spans="2:44" ht="18" customHeight="1">
      <c r="B176" s="17"/>
      <c r="C176" s="1" t="s">
        <v>1</v>
      </c>
      <c r="D176" s="1" t="s">
        <v>1</v>
      </c>
      <c r="E176" s="1">
        <v>2</v>
      </c>
      <c r="F176" s="1">
        <v>1</v>
      </c>
      <c r="G176" s="1">
        <v>2</v>
      </c>
      <c r="H176" s="1">
        <v>1</v>
      </c>
      <c r="I176" s="1">
        <v>1</v>
      </c>
      <c r="J176" s="1"/>
      <c r="K176" s="8" t="str">
        <f>CustomFormatWbsIdx(B176,E176,F176,G176,H176,I176,J176)</f>
        <v>002.001.002.001.001.---</v>
      </c>
      <c r="L176" s="8">
        <v>1</v>
      </c>
      <c r="M176" s="8">
        <f>CustomFuncGetLevel(E176,F176,G176,H176,I176)</f>
        <v>5</v>
      </c>
      <c r="N176" s="8" t="b">
        <f>AND(J176&lt;&gt;"",ISNUMBER(J176))</f>
        <v>0</v>
      </c>
      <c r="O176" s="8" t="b">
        <f>NOT(OR(AB176="削除",AB176="移管済",AB176="棚上げ",AB176="却下"))</f>
        <v>1</v>
      </c>
      <c r="P176" s="8" t="b">
        <v>1</v>
      </c>
      <c r="Q176" s="8" t="b">
        <v>1</v>
      </c>
      <c r="R176" s="8" t="str">
        <f>CustomFormatWbsId(B176,E176,F176,G176,H176,I176,J176)</f>
        <v>2.1.2.1.1</v>
      </c>
      <c r="S176" s="2"/>
      <c r="T176" s="2"/>
      <c r="U176" s="2"/>
      <c r="V176" s="2"/>
      <c r="W176" s="2" t="s">
        <v>70</v>
      </c>
      <c r="X176" s="2"/>
      <c r="Y176" s="2"/>
      <c r="Z176" s="7">
        <v>3</v>
      </c>
      <c r="AA176" s="7">
        <v>0</v>
      </c>
      <c r="AB176" s="1" t="s">
        <v>79</v>
      </c>
      <c r="AC176" s="1">
        <v>0.53333333333333333</v>
      </c>
      <c r="AD176" s="3">
        <v>0.5600000143051147</v>
      </c>
      <c r="AE176" s="1">
        <v>1</v>
      </c>
      <c r="AF176" s="1" t="s">
        <v>79</v>
      </c>
      <c r="AG176" s="1" t="s">
        <v>79</v>
      </c>
      <c r="AH176" s="4"/>
      <c r="AI176" s="1">
        <v>3</v>
      </c>
      <c r="AJ176" s="1"/>
      <c r="AK176" s="1"/>
      <c r="AL176" s="1">
        <v>1</v>
      </c>
      <c r="AM176" s="1">
        <v>2.5</v>
      </c>
      <c r="AN176" s="1"/>
      <c r="AO176" s="1"/>
      <c r="AP176" s="1" t="s">
        <v>79</v>
      </c>
      <c r="AQ176" s="1" t="s">
        <v>79</v>
      </c>
      <c r="AR176" s="2"/>
    </row>
    <row r="177" spans="2:44" ht="18" customHeight="1">
      <c r="B177" s="17"/>
      <c r="C177" s="1" t="s">
        <v>1</v>
      </c>
      <c r="D177" s="1" t="s">
        <v>1</v>
      </c>
      <c r="E177" s="1">
        <v>2</v>
      </c>
      <c r="F177" s="1">
        <v>1</v>
      </c>
      <c r="G177" s="1">
        <v>2</v>
      </c>
      <c r="H177" s="1">
        <v>1</v>
      </c>
      <c r="I177" s="1">
        <v>1</v>
      </c>
      <c r="J177" s="1">
        <v>1</v>
      </c>
      <c r="K177" s="8" t="str">
        <f>CustomFormatWbsIdx(B177,E177,F177,G177,H177,I177,J177)</f>
        <v>002.001.002.001.001.001</v>
      </c>
      <c r="L177" s="8">
        <v>1</v>
      </c>
      <c r="M177" s="8">
        <f>CustomFuncGetLevel(E177,F177,G177,H177,I177)</f>
        <v>5</v>
      </c>
      <c r="N177" s="8" t="b">
        <f>AND(J177&lt;&gt;"",ISNUMBER(J177))</f>
        <v>1</v>
      </c>
      <c r="O177" s="8" t="b">
        <f>NOT(OR(AB177="削除",AB177="移管済",AB177="棚上げ",AB177="却下"))</f>
        <v>1</v>
      </c>
      <c r="P177" s="8" t="b">
        <v>1</v>
      </c>
      <c r="Q177" s="8" t="b">
        <v>0</v>
      </c>
      <c r="R177" s="8" t="str">
        <f>CustomFormatWbsId(B177,E177,F177,G177,H177,I177,J177)</f>
        <v>2.1.2.1.1.T1</v>
      </c>
      <c r="S177" s="2"/>
      <c r="T177" s="2"/>
      <c r="U177" s="2"/>
      <c r="V177" s="2"/>
      <c r="W177" s="2"/>
      <c r="X177" s="2" t="s">
        <v>71</v>
      </c>
      <c r="Y177" s="2"/>
      <c r="Z177" s="7">
        <v>1</v>
      </c>
      <c r="AA177" s="7">
        <v>0</v>
      </c>
      <c r="AB177" s="1" t="s">
        <v>79</v>
      </c>
      <c r="AC177" s="1">
        <v>0</v>
      </c>
      <c r="AD177" s="3">
        <v>0.30000001192092896</v>
      </c>
      <c r="AE177" s="1">
        <v>2</v>
      </c>
      <c r="AF177" s="1" t="s">
        <v>79</v>
      </c>
      <c r="AG177" s="1" t="s">
        <v>79</v>
      </c>
      <c r="AH177" s="4"/>
      <c r="AI177" s="1">
        <v>2</v>
      </c>
      <c r="AJ177" s="1"/>
      <c r="AK177" s="1"/>
      <c r="AL177" s="1">
        <v>0</v>
      </c>
      <c r="AM177" s="1">
        <v>0</v>
      </c>
      <c r="AN177" s="1"/>
      <c r="AO177" s="1"/>
      <c r="AP177" s="1" t="s">
        <v>79</v>
      </c>
      <c r="AQ177" s="1" t="s">
        <v>79</v>
      </c>
      <c r="AR177" s="2"/>
    </row>
    <row r="178" spans="2:44" ht="18" customHeight="1">
      <c r="B178" s="17"/>
      <c r="C178" s="1" t="s">
        <v>1</v>
      </c>
      <c r="D178" s="1" t="s">
        <v>1</v>
      </c>
      <c r="E178" s="1">
        <v>2</v>
      </c>
      <c r="F178" s="1">
        <v>1</v>
      </c>
      <c r="G178" s="1">
        <v>2</v>
      </c>
      <c r="H178" s="1">
        <v>1</v>
      </c>
      <c r="I178" s="1">
        <v>1</v>
      </c>
      <c r="J178" s="1">
        <v>2</v>
      </c>
      <c r="K178" s="8" t="str">
        <f>CustomFormatWbsIdx(B178,E178,F178,G178,H178,I178,J178)</f>
        <v>002.001.002.001.001.002</v>
      </c>
      <c r="L178" s="8">
        <v>1</v>
      </c>
      <c r="M178" s="8">
        <f>CustomFuncGetLevel(E178,F178,G178,H178,I178)</f>
        <v>5</v>
      </c>
      <c r="N178" s="8" t="b">
        <f>AND(J178&lt;&gt;"",ISNUMBER(J178))</f>
        <v>1</v>
      </c>
      <c r="O178" s="8" t="b">
        <f>NOT(OR(AB178="削除",AB178="移管済",AB178="棚上げ",AB178="却下"))</f>
        <v>1</v>
      </c>
      <c r="P178" s="8" t="b">
        <v>1</v>
      </c>
      <c r="Q178" s="8" t="b">
        <v>0</v>
      </c>
      <c r="R178" s="8" t="str">
        <f>CustomFormatWbsId(B178,E178,F178,G178,H178,I178,J178)</f>
        <v>2.1.2.1.1.T2</v>
      </c>
      <c r="S178" s="2"/>
      <c r="T178" s="2"/>
      <c r="U178" s="2"/>
      <c r="V178" s="2"/>
      <c r="W178" s="2"/>
      <c r="X178" s="2" t="s">
        <v>72</v>
      </c>
      <c r="Y178" s="2"/>
      <c r="Z178" s="7">
        <v>1</v>
      </c>
      <c r="AA178" s="7">
        <v>0</v>
      </c>
      <c r="AB178" s="1" t="s">
        <v>79</v>
      </c>
      <c r="AC178" s="1">
        <v>0.6</v>
      </c>
      <c r="AD178" s="3">
        <v>0.60000002384185791</v>
      </c>
      <c r="AE178" s="1">
        <v>1</v>
      </c>
      <c r="AF178" s="1" t="s">
        <v>79</v>
      </c>
      <c r="AG178" s="1" t="s">
        <v>79</v>
      </c>
      <c r="AH178" s="4"/>
      <c r="AI178" s="1">
        <v>0.5</v>
      </c>
      <c r="AJ178" s="1"/>
      <c r="AK178" s="1"/>
      <c r="AL178" s="1">
        <v>1</v>
      </c>
      <c r="AM178" s="1">
        <v>1.5</v>
      </c>
      <c r="AN178" s="1"/>
      <c r="AO178" s="1"/>
      <c r="AP178" s="1" t="s">
        <v>79</v>
      </c>
      <c r="AQ178" s="1" t="s">
        <v>79</v>
      </c>
      <c r="AR178" s="2"/>
    </row>
    <row r="179" spans="2:44" ht="18" customHeight="1">
      <c r="B179" s="17"/>
      <c r="C179" s="1" t="s">
        <v>1</v>
      </c>
      <c r="D179" s="1" t="s">
        <v>1</v>
      </c>
      <c r="E179" s="1">
        <v>2</v>
      </c>
      <c r="F179" s="1">
        <v>1</v>
      </c>
      <c r="G179" s="1">
        <v>2</v>
      </c>
      <c r="H179" s="1">
        <v>1</v>
      </c>
      <c r="I179" s="1">
        <v>1</v>
      </c>
      <c r="J179" s="1">
        <v>3</v>
      </c>
      <c r="K179" s="8" t="str">
        <f>CustomFormatWbsIdx(B179,E179,F179,G179,H179,I179,J179)</f>
        <v>002.001.002.001.001.003</v>
      </c>
      <c r="L179" s="8">
        <v>1</v>
      </c>
      <c r="M179" s="8">
        <f>CustomFuncGetLevel(E179,F179,G179,H179,I179)</f>
        <v>5</v>
      </c>
      <c r="N179" s="8" t="b">
        <f>AND(J179&lt;&gt;"",ISNUMBER(J179))</f>
        <v>1</v>
      </c>
      <c r="O179" s="8" t="b">
        <f>NOT(OR(AB179="削除",AB179="移管済",AB179="棚上げ",AB179="却下"))</f>
        <v>1</v>
      </c>
      <c r="P179" s="8" t="b">
        <v>1</v>
      </c>
      <c r="Q179" s="8" t="b">
        <v>0</v>
      </c>
      <c r="R179" s="8" t="str">
        <f>CustomFormatWbsId(B179,E179,F179,G179,H179,I179,J179)</f>
        <v>2.1.2.1.1.T3</v>
      </c>
      <c r="S179" s="2"/>
      <c r="T179" s="2"/>
      <c r="U179" s="2"/>
      <c r="V179" s="2"/>
      <c r="W179" s="2"/>
      <c r="X179" s="2"/>
      <c r="Y179" s="2"/>
      <c r="Z179" s="7">
        <v>1</v>
      </c>
      <c r="AA179" s="7">
        <v>0</v>
      </c>
      <c r="AB179" s="1" t="s">
        <v>79</v>
      </c>
      <c r="AC179" s="1">
        <v>1</v>
      </c>
      <c r="AD179" s="3">
        <v>0.80000001192092896</v>
      </c>
      <c r="AE179" s="1">
        <v>2</v>
      </c>
      <c r="AF179" s="1" t="s">
        <v>79</v>
      </c>
      <c r="AG179" s="1" t="s">
        <v>79</v>
      </c>
      <c r="AH179" s="4"/>
      <c r="AI179" s="1">
        <v>0.5</v>
      </c>
      <c r="AJ179" s="1"/>
      <c r="AK179" s="1"/>
      <c r="AL179" s="1">
        <v>0</v>
      </c>
      <c r="AM179" s="1">
        <v>1</v>
      </c>
      <c r="AN179" s="1"/>
      <c r="AO179" s="1"/>
      <c r="AP179" s="1" t="s">
        <v>79</v>
      </c>
      <c r="AQ179" s="1" t="s">
        <v>79</v>
      </c>
      <c r="AR179" s="2"/>
    </row>
    <row r="180" spans="2:44" ht="18" customHeight="1">
      <c r="B180" s="17"/>
      <c r="C180" s="1" t="s">
        <v>1</v>
      </c>
      <c r="D180" s="1" t="s">
        <v>1</v>
      </c>
      <c r="E180" s="1">
        <v>2</v>
      </c>
      <c r="F180" s="1">
        <v>1</v>
      </c>
      <c r="G180" s="1">
        <v>2</v>
      </c>
      <c r="H180" s="1">
        <v>1</v>
      </c>
      <c r="I180" s="1">
        <v>2</v>
      </c>
      <c r="J180" s="1"/>
      <c r="K180" s="8" t="str">
        <f>CustomFormatWbsIdx(B180,E180,F180,G180,H180,I180,J180)</f>
        <v>002.001.002.001.002.---</v>
      </c>
      <c r="L180" s="8">
        <v>1</v>
      </c>
      <c r="M180" s="8">
        <f>CustomFuncGetLevel(E180,F180,G180,H180,I180)</f>
        <v>5</v>
      </c>
      <c r="N180" s="8" t="b">
        <f>AND(J180&lt;&gt;"",ISNUMBER(J180))</f>
        <v>0</v>
      </c>
      <c r="O180" s="8" t="b">
        <f>NOT(OR(AB180="削除",AB180="移管済",AB180="棚上げ",AB180="却下"))</f>
        <v>1</v>
      </c>
      <c r="P180" s="8" t="b">
        <v>1</v>
      </c>
      <c r="Q180" s="8" t="b">
        <v>1</v>
      </c>
      <c r="R180" s="8" t="str">
        <f>CustomFormatWbsId(B180,E180,F180,G180,H180,I180,J180)</f>
        <v>2.1.2.1.2</v>
      </c>
      <c r="S180" s="2"/>
      <c r="T180" s="2"/>
      <c r="U180" s="2"/>
      <c r="V180" s="2"/>
      <c r="W180" s="2"/>
      <c r="X180" s="2"/>
      <c r="Y180" s="2"/>
      <c r="Z180" s="7">
        <v>3</v>
      </c>
      <c r="AA180" s="7">
        <v>0</v>
      </c>
      <c r="AB180" s="1" t="s">
        <v>79</v>
      </c>
      <c r="AC180" s="1">
        <v>0.69047619047619035</v>
      </c>
      <c r="AD180" s="3">
        <v>0.60000001788139345</v>
      </c>
      <c r="AE180" s="1">
        <v>1</v>
      </c>
      <c r="AF180" s="1" t="s">
        <v>79</v>
      </c>
      <c r="AG180" s="1" t="s">
        <v>79</v>
      </c>
      <c r="AH180" s="4"/>
      <c r="AI180" s="1">
        <v>5.5</v>
      </c>
      <c r="AJ180" s="1"/>
      <c r="AK180" s="1"/>
      <c r="AL180" s="1">
        <v>3.5</v>
      </c>
      <c r="AM180" s="1">
        <v>4.5</v>
      </c>
      <c r="AN180" s="1"/>
      <c r="AO180" s="1"/>
      <c r="AP180" s="1" t="s">
        <v>79</v>
      </c>
      <c r="AQ180" s="1" t="s">
        <v>79</v>
      </c>
      <c r="AR180" s="2"/>
    </row>
    <row r="181" spans="2:44" ht="18" customHeight="1">
      <c r="B181" s="17"/>
      <c r="C181" s="1" t="s">
        <v>1</v>
      </c>
      <c r="D181" s="1" t="s">
        <v>1</v>
      </c>
      <c r="E181" s="1">
        <v>2</v>
      </c>
      <c r="F181" s="1">
        <v>1</v>
      </c>
      <c r="G181" s="1">
        <v>2</v>
      </c>
      <c r="H181" s="1">
        <v>1</v>
      </c>
      <c r="I181" s="1">
        <v>2</v>
      </c>
      <c r="J181" s="1">
        <v>1</v>
      </c>
      <c r="K181" s="8" t="str">
        <f>CustomFormatWbsIdx(B181,E181,F181,G181,H181,I181,J181)</f>
        <v>002.001.002.001.002.001</v>
      </c>
      <c r="L181" s="8">
        <v>1</v>
      </c>
      <c r="M181" s="8">
        <f>CustomFuncGetLevel(E181,F181,G181,H181,I181)</f>
        <v>5</v>
      </c>
      <c r="N181" s="8" t="b">
        <f>AND(J181&lt;&gt;"",ISNUMBER(J181))</f>
        <v>1</v>
      </c>
      <c r="O181" s="8" t="b">
        <f>NOT(OR(AB181="削除",AB181="移管済",AB181="棚上げ",AB181="却下"))</f>
        <v>1</v>
      </c>
      <c r="P181" s="8" t="b">
        <v>1</v>
      </c>
      <c r="Q181" s="8" t="b">
        <v>0</v>
      </c>
      <c r="R181" s="8" t="str">
        <f>CustomFormatWbsId(B181,E181,F181,G181,H181,I181,J181)</f>
        <v>2.1.2.1.2.T1</v>
      </c>
      <c r="S181" s="2"/>
      <c r="T181" s="2"/>
      <c r="U181" s="2"/>
      <c r="V181" s="2"/>
      <c r="W181" s="2"/>
      <c r="X181" s="2" t="s">
        <v>71</v>
      </c>
      <c r="Y181" s="2"/>
      <c r="Z181" s="7">
        <v>1</v>
      </c>
      <c r="AA181" s="7">
        <v>0</v>
      </c>
      <c r="AB181" s="1" t="s">
        <v>79</v>
      </c>
      <c r="AC181" s="1">
        <v>0.5714285714285714</v>
      </c>
      <c r="AD181" s="3">
        <v>0.60000002384185791</v>
      </c>
      <c r="AE181" s="1">
        <v>3</v>
      </c>
      <c r="AF181" s="1" t="s">
        <v>79</v>
      </c>
      <c r="AG181" s="1" t="s">
        <v>79</v>
      </c>
      <c r="AH181" s="4"/>
      <c r="AI181" s="1">
        <v>1.5</v>
      </c>
      <c r="AJ181" s="1"/>
      <c r="AK181" s="1"/>
      <c r="AL181" s="1">
        <v>1.5</v>
      </c>
      <c r="AM181" s="1">
        <v>2</v>
      </c>
      <c r="AN181" s="1"/>
      <c r="AO181" s="1"/>
      <c r="AP181" s="1" t="s">
        <v>79</v>
      </c>
      <c r="AQ181" s="1" t="s">
        <v>79</v>
      </c>
      <c r="AR181" s="2"/>
    </row>
    <row r="182" spans="2:44" ht="18" customHeight="1">
      <c r="B182" s="17"/>
      <c r="C182" s="1" t="s">
        <v>1</v>
      </c>
      <c r="D182" s="1" t="s">
        <v>1</v>
      </c>
      <c r="E182" s="1">
        <v>2</v>
      </c>
      <c r="F182" s="1">
        <v>1</v>
      </c>
      <c r="G182" s="1">
        <v>2</v>
      </c>
      <c r="H182" s="1">
        <v>1</v>
      </c>
      <c r="I182" s="1">
        <v>2</v>
      </c>
      <c r="J182" s="1">
        <v>2</v>
      </c>
      <c r="K182" s="8" t="str">
        <f>CustomFormatWbsIdx(B182,E182,F182,G182,H182,I182,J182)</f>
        <v>002.001.002.001.002.002</v>
      </c>
      <c r="L182" s="8">
        <v>1</v>
      </c>
      <c r="M182" s="8">
        <f>CustomFuncGetLevel(E182,F182,G182,H182,I182)</f>
        <v>5</v>
      </c>
      <c r="N182" s="8" t="b">
        <f>AND(J182&lt;&gt;"",ISNUMBER(J182))</f>
        <v>1</v>
      </c>
      <c r="O182" s="8" t="b">
        <f>NOT(OR(AB182="削除",AB182="移管済",AB182="棚上げ",AB182="却下"))</f>
        <v>1</v>
      </c>
      <c r="P182" s="8" t="b">
        <v>1</v>
      </c>
      <c r="Q182" s="8" t="b">
        <v>0</v>
      </c>
      <c r="R182" s="8" t="str">
        <f>CustomFormatWbsId(B182,E182,F182,G182,H182,I182,J182)</f>
        <v>2.1.2.1.2.T2</v>
      </c>
      <c r="S182" s="2"/>
      <c r="T182" s="2"/>
      <c r="U182" s="2"/>
      <c r="V182" s="2"/>
      <c r="W182" s="2"/>
      <c r="X182" s="2" t="s">
        <v>72</v>
      </c>
      <c r="Y182" s="2"/>
      <c r="Z182" s="7">
        <v>1</v>
      </c>
      <c r="AA182" s="7">
        <v>0</v>
      </c>
      <c r="AB182" s="1" t="s">
        <v>79</v>
      </c>
      <c r="AC182" s="1">
        <v>0.5</v>
      </c>
      <c r="AD182" s="3">
        <v>0.40000000596046448</v>
      </c>
      <c r="AE182" s="1">
        <v>1</v>
      </c>
      <c r="AF182" s="1" t="s">
        <v>79</v>
      </c>
      <c r="AG182" s="1" t="s">
        <v>79</v>
      </c>
      <c r="AH182" s="4"/>
      <c r="AI182" s="1">
        <v>2</v>
      </c>
      <c r="AJ182" s="1"/>
      <c r="AK182" s="1"/>
      <c r="AL182" s="1">
        <v>2</v>
      </c>
      <c r="AM182" s="1">
        <v>2</v>
      </c>
      <c r="AN182" s="1"/>
      <c r="AO182" s="1"/>
      <c r="AP182" s="1" t="s">
        <v>79</v>
      </c>
      <c r="AQ182" s="1" t="s">
        <v>79</v>
      </c>
      <c r="AR182" s="2"/>
    </row>
    <row r="183" spans="2:44" ht="18" customHeight="1">
      <c r="B183" s="17"/>
      <c r="C183" s="1" t="s">
        <v>1</v>
      </c>
      <c r="D183" s="1" t="s">
        <v>1</v>
      </c>
      <c r="E183" s="1">
        <v>2</v>
      </c>
      <c r="F183" s="1">
        <v>1</v>
      </c>
      <c r="G183" s="1">
        <v>2</v>
      </c>
      <c r="H183" s="1">
        <v>1</v>
      </c>
      <c r="I183" s="1">
        <v>2</v>
      </c>
      <c r="J183" s="1">
        <v>3</v>
      </c>
      <c r="K183" s="8" t="str">
        <f>CustomFormatWbsIdx(B183,E183,F183,G183,H183,I183,J183)</f>
        <v>002.001.002.001.002.003</v>
      </c>
      <c r="L183" s="8">
        <v>1</v>
      </c>
      <c r="M183" s="8">
        <f>CustomFuncGetLevel(E183,F183,G183,H183,I183)</f>
        <v>5</v>
      </c>
      <c r="N183" s="8" t="b">
        <f>AND(J183&lt;&gt;"",ISNUMBER(J183))</f>
        <v>1</v>
      </c>
      <c r="O183" s="8" t="b">
        <f>NOT(OR(AB183="削除",AB183="移管済",AB183="棚上げ",AB183="却下"))</f>
        <v>1</v>
      </c>
      <c r="P183" s="8" t="b">
        <v>1</v>
      </c>
      <c r="Q183" s="8" t="b">
        <v>0</v>
      </c>
      <c r="R183" s="8" t="str">
        <f>CustomFormatWbsId(B183,E183,F183,G183,H183,I183,J183)</f>
        <v>2.1.2.1.2.T3</v>
      </c>
      <c r="S183" s="2"/>
      <c r="T183" s="2"/>
      <c r="U183" s="2"/>
      <c r="V183" s="2"/>
      <c r="W183" s="2"/>
      <c r="X183" s="2"/>
      <c r="Y183" s="2"/>
      <c r="Z183" s="7">
        <v>1</v>
      </c>
      <c r="AA183" s="7">
        <v>0</v>
      </c>
      <c r="AB183" s="1" t="s">
        <v>79</v>
      </c>
      <c r="AC183" s="1">
        <v>1</v>
      </c>
      <c r="AD183" s="3">
        <v>0.80000001192092896</v>
      </c>
      <c r="AE183" s="1">
        <v>1</v>
      </c>
      <c r="AF183" s="1" t="s">
        <v>79</v>
      </c>
      <c r="AG183" s="1" t="s">
        <v>79</v>
      </c>
      <c r="AH183" s="4"/>
      <c r="AI183" s="1">
        <v>2</v>
      </c>
      <c r="AJ183" s="1"/>
      <c r="AK183" s="1"/>
      <c r="AL183" s="1">
        <v>0</v>
      </c>
      <c r="AM183" s="1">
        <v>0.5</v>
      </c>
      <c r="AN183" s="1"/>
      <c r="AO183" s="1"/>
      <c r="AP183" s="1" t="s">
        <v>79</v>
      </c>
      <c r="AQ183" s="1" t="s">
        <v>79</v>
      </c>
      <c r="AR183" s="2"/>
    </row>
    <row r="184" spans="2:44" ht="18" customHeight="1">
      <c r="B184" s="17"/>
      <c r="C184" s="1" t="s">
        <v>1</v>
      </c>
      <c r="D184" s="1" t="s">
        <v>1</v>
      </c>
      <c r="E184" s="1">
        <v>2</v>
      </c>
      <c r="F184" s="1">
        <v>1</v>
      </c>
      <c r="G184" s="1">
        <v>2</v>
      </c>
      <c r="H184" s="1">
        <v>2</v>
      </c>
      <c r="I184" s="1"/>
      <c r="J184" s="1"/>
      <c r="K184" s="8" t="str">
        <f>CustomFormatWbsIdx(B184,E184,F184,G184,H184,I184,J184)</f>
        <v>002.001.002.002.---.---</v>
      </c>
      <c r="L184" s="8">
        <v>1</v>
      </c>
      <c r="M184" s="8">
        <f>CustomFuncGetLevel(E184,F184,G184,H184,I184)</f>
        <v>4</v>
      </c>
      <c r="N184" s="8" t="b">
        <f>AND(J184&lt;&gt;"",ISNUMBER(J184))</f>
        <v>0</v>
      </c>
      <c r="O184" s="8" t="b">
        <f>NOT(OR(AB184="削除",AB184="移管済",AB184="棚上げ",AB184="却下"))</f>
        <v>1</v>
      </c>
      <c r="P184" s="8" t="b">
        <v>1</v>
      </c>
      <c r="Q184" s="8" t="b">
        <v>1</v>
      </c>
      <c r="R184" s="8" t="str">
        <f>CustomFormatWbsId(B184,E184,F184,G184,H184,I184,J184)</f>
        <v>2.1.2.2</v>
      </c>
      <c r="S184" s="2"/>
      <c r="T184" s="2"/>
      <c r="U184" s="2"/>
      <c r="V184" s="2"/>
      <c r="W184" s="2"/>
      <c r="X184" s="2"/>
      <c r="Y184" s="2"/>
      <c r="Z184" s="7">
        <v>9</v>
      </c>
      <c r="AA184" s="7">
        <v>1</v>
      </c>
      <c r="AB184" s="1" t="s">
        <v>79</v>
      </c>
      <c r="AC184" s="1">
        <v>0.61944444444444446</v>
      </c>
      <c r="AD184" s="3">
        <v>0.61333333551883695</v>
      </c>
      <c r="AE184" s="1">
        <v>1</v>
      </c>
      <c r="AF184" s="1" t="s">
        <v>79</v>
      </c>
      <c r="AG184" s="1" t="s">
        <v>79</v>
      </c>
      <c r="AH184" s="4"/>
      <c r="AI184" s="1">
        <v>12.5</v>
      </c>
      <c r="AJ184" s="1"/>
      <c r="AK184" s="1"/>
      <c r="AL184" s="1">
        <v>9</v>
      </c>
      <c r="AM184" s="1">
        <v>10</v>
      </c>
      <c r="AN184" s="1"/>
      <c r="AO184" s="1"/>
      <c r="AP184" s="1" t="s">
        <v>79</v>
      </c>
      <c r="AQ184" s="1" t="s">
        <v>79</v>
      </c>
      <c r="AR184" s="2"/>
    </row>
    <row r="185" spans="2:44" ht="18" customHeight="1">
      <c r="B185" s="17"/>
      <c r="C185" s="1" t="s">
        <v>1</v>
      </c>
      <c r="D185" s="1" t="s">
        <v>1</v>
      </c>
      <c r="E185" s="1">
        <v>2</v>
      </c>
      <c r="F185" s="1">
        <v>1</v>
      </c>
      <c r="G185" s="1">
        <v>2</v>
      </c>
      <c r="H185" s="1">
        <v>2</v>
      </c>
      <c r="I185" s="1"/>
      <c r="J185" s="1">
        <v>1</v>
      </c>
      <c r="K185" s="8" t="str">
        <f>CustomFormatWbsIdx(B185,E185,F185,G185,H185,I185,J185)</f>
        <v>002.001.002.002.---.001</v>
      </c>
      <c r="L185" s="8">
        <v>1</v>
      </c>
      <c r="M185" s="8">
        <f>CustomFuncGetLevel(E185,F185,G185,H185,I185)</f>
        <v>4</v>
      </c>
      <c r="N185" s="8" t="b">
        <f>AND(J185&lt;&gt;"",ISNUMBER(J185))</f>
        <v>1</v>
      </c>
      <c r="O185" s="8" t="b">
        <f>NOT(OR(AB185="削除",AB185="移管済",AB185="棚上げ",AB185="却下"))</f>
        <v>1</v>
      </c>
      <c r="P185" s="8" t="b">
        <v>1</v>
      </c>
      <c r="Q185" s="8" t="b">
        <v>0</v>
      </c>
      <c r="R185" s="8" t="str">
        <f>CustomFormatWbsId(B185,E185,F185,G185,H185,I185,J185)</f>
        <v>2.1.2.2.T1</v>
      </c>
      <c r="S185" s="2"/>
      <c r="T185" s="2"/>
      <c r="U185" s="2"/>
      <c r="V185" s="2"/>
      <c r="W185" s="2"/>
      <c r="X185" s="2" t="s">
        <v>67</v>
      </c>
      <c r="Y185" s="2"/>
      <c r="Z185" s="7">
        <v>1</v>
      </c>
      <c r="AA185" s="7">
        <v>1</v>
      </c>
      <c r="AB185" s="1" t="s">
        <v>32</v>
      </c>
      <c r="AC185" s="1">
        <v>1</v>
      </c>
      <c r="AD185" s="3">
        <v>1</v>
      </c>
      <c r="AE185" s="1">
        <v>1</v>
      </c>
      <c r="AF185" s="1" t="s">
        <v>79</v>
      </c>
      <c r="AG185" s="1" t="s">
        <v>79</v>
      </c>
      <c r="AH185" s="4"/>
      <c r="AI185" s="1">
        <v>2</v>
      </c>
      <c r="AJ185" s="1"/>
      <c r="AK185" s="1"/>
      <c r="AL185" s="1">
        <v>0</v>
      </c>
      <c r="AM185" s="1">
        <v>0.5</v>
      </c>
      <c r="AN185" s="1"/>
      <c r="AO185" s="1"/>
      <c r="AP185" s="1" t="s">
        <v>79</v>
      </c>
      <c r="AQ185" s="1" t="s">
        <v>79</v>
      </c>
      <c r="AR185" s="2"/>
    </row>
    <row r="186" spans="2:44" ht="18" customHeight="1">
      <c r="B186" s="17"/>
      <c r="C186" s="1" t="s">
        <v>1</v>
      </c>
      <c r="D186" s="1" t="s">
        <v>1</v>
      </c>
      <c r="E186" s="1">
        <v>2</v>
      </c>
      <c r="F186" s="1">
        <v>1</v>
      </c>
      <c r="G186" s="1">
        <v>2</v>
      </c>
      <c r="H186" s="1">
        <v>2</v>
      </c>
      <c r="I186" s="1"/>
      <c r="J186" s="1">
        <v>2</v>
      </c>
      <c r="K186" s="8" t="str">
        <f>CustomFormatWbsIdx(B186,E186,F186,G186,H186,I186,J186)</f>
        <v>002.001.002.002.---.002</v>
      </c>
      <c r="L186" s="8">
        <v>1</v>
      </c>
      <c r="M186" s="8">
        <f>CustomFuncGetLevel(E186,F186,G186,H186,I186)</f>
        <v>4</v>
      </c>
      <c r="N186" s="8" t="b">
        <f>AND(J186&lt;&gt;"",ISNUMBER(J186))</f>
        <v>1</v>
      </c>
      <c r="O186" s="8" t="b">
        <f>NOT(OR(AB186="削除",AB186="移管済",AB186="棚上げ",AB186="却下"))</f>
        <v>1</v>
      </c>
      <c r="P186" s="8" t="b">
        <v>1</v>
      </c>
      <c r="Q186" s="8" t="b">
        <v>0</v>
      </c>
      <c r="R186" s="8" t="str">
        <f>CustomFormatWbsId(B186,E186,F186,G186,H186,I186,J186)</f>
        <v>2.1.2.2.T2</v>
      </c>
      <c r="S186" s="2"/>
      <c r="T186" s="2"/>
      <c r="U186" s="2"/>
      <c r="V186" s="2"/>
      <c r="W186" s="2"/>
      <c r="X186" s="2" t="s">
        <v>68</v>
      </c>
      <c r="Y186" s="2"/>
      <c r="Z186" s="7">
        <v>1</v>
      </c>
      <c r="AA186" s="7">
        <v>0</v>
      </c>
      <c r="AB186" s="1" t="s">
        <v>84</v>
      </c>
      <c r="AC186" s="1">
        <v>0.5</v>
      </c>
      <c r="AD186" s="3">
        <v>0.20000000298023224</v>
      </c>
      <c r="AE186" s="1">
        <v>1</v>
      </c>
      <c r="AF186" s="1" t="s">
        <v>79</v>
      </c>
      <c r="AG186" s="1" t="s">
        <v>79</v>
      </c>
      <c r="AH186" s="4"/>
      <c r="AI186" s="1">
        <v>2.5</v>
      </c>
      <c r="AJ186" s="1"/>
      <c r="AK186" s="1"/>
      <c r="AL186" s="1">
        <v>0.5</v>
      </c>
      <c r="AM186" s="1">
        <v>0.5</v>
      </c>
      <c r="AN186" s="1"/>
      <c r="AO186" s="1"/>
      <c r="AP186" s="1" t="s">
        <v>79</v>
      </c>
      <c r="AQ186" s="1" t="s">
        <v>79</v>
      </c>
      <c r="AR186" s="2"/>
    </row>
    <row r="187" spans="2:44" ht="18" customHeight="1">
      <c r="B187" s="17"/>
      <c r="C187" s="1" t="s">
        <v>1</v>
      </c>
      <c r="D187" s="1" t="s">
        <v>1</v>
      </c>
      <c r="E187" s="1">
        <v>2</v>
      </c>
      <c r="F187" s="1">
        <v>1</v>
      </c>
      <c r="G187" s="1">
        <v>2</v>
      </c>
      <c r="H187" s="1">
        <v>2</v>
      </c>
      <c r="I187" s="1"/>
      <c r="J187" s="1">
        <v>3</v>
      </c>
      <c r="K187" s="8" t="str">
        <f>CustomFormatWbsIdx(B187,E187,F187,G187,H187,I187,J187)</f>
        <v>002.001.002.002.---.003</v>
      </c>
      <c r="L187" s="8">
        <v>1</v>
      </c>
      <c r="M187" s="8">
        <f>CustomFuncGetLevel(E187,F187,G187,H187,I187)</f>
        <v>4</v>
      </c>
      <c r="N187" s="8" t="b">
        <f>AND(J187&lt;&gt;"",ISNUMBER(J187))</f>
        <v>1</v>
      </c>
      <c r="O187" s="8" t="b">
        <f>NOT(OR(AB187="削除",AB187="移管済",AB187="棚上げ",AB187="却下"))</f>
        <v>1</v>
      </c>
      <c r="P187" s="8" t="b">
        <v>1</v>
      </c>
      <c r="Q187" s="8" t="b">
        <v>0</v>
      </c>
      <c r="R187" s="8" t="str">
        <f>CustomFormatWbsId(B187,E187,F187,G187,H187,I187,J187)</f>
        <v>2.1.2.2.T3</v>
      </c>
      <c r="S187" s="2"/>
      <c r="T187" s="2"/>
      <c r="U187" s="2"/>
      <c r="V187" s="2"/>
      <c r="W187" s="2"/>
      <c r="X187" s="2" t="s">
        <v>69</v>
      </c>
      <c r="Y187" s="2"/>
      <c r="Z187" s="7">
        <v>1</v>
      </c>
      <c r="AA187" s="7">
        <v>0</v>
      </c>
      <c r="AB187" s="1" t="s">
        <v>79</v>
      </c>
      <c r="AC187" s="1">
        <v>0.5</v>
      </c>
      <c r="AD187" s="3">
        <v>0.69999998807907104</v>
      </c>
      <c r="AE187" s="1">
        <v>1</v>
      </c>
      <c r="AF187" s="1" t="s">
        <v>79</v>
      </c>
      <c r="AG187" s="1" t="s">
        <v>79</v>
      </c>
      <c r="AH187" s="4"/>
      <c r="AI187" s="1">
        <v>1.5</v>
      </c>
      <c r="AJ187" s="1"/>
      <c r="AK187" s="1"/>
      <c r="AL187" s="1">
        <v>2</v>
      </c>
      <c r="AM187" s="1">
        <v>2</v>
      </c>
      <c r="AN187" s="1"/>
      <c r="AO187" s="1"/>
      <c r="AP187" s="1" t="s">
        <v>79</v>
      </c>
      <c r="AQ187" s="1" t="s">
        <v>79</v>
      </c>
      <c r="AR187" s="2"/>
    </row>
    <row r="188" spans="2:44" ht="18" customHeight="1">
      <c r="B188" s="17"/>
      <c r="C188" s="1" t="s">
        <v>1</v>
      </c>
      <c r="D188" s="1" t="s">
        <v>1</v>
      </c>
      <c r="E188" s="1">
        <v>2</v>
      </c>
      <c r="F188" s="1">
        <v>1</v>
      </c>
      <c r="G188" s="1">
        <v>2</v>
      </c>
      <c r="H188" s="1">
        <v>2</v>
      </c>
      <c r="I188" s="1">
        <v>1</v>
      </c>
      <c r="J188" s="1"/>
      <c r="K188" s="8" t="str">
        <f>CustomFormatWbsIdx(B188,E188,F188,G188,H188,I188,J188)</f>
        <v>002.001.002.002.001.---</v>
      </c>
      <c r="L188" s="8">
        <v>1</v>
      </c>
      <c r="M188" s="8">
        <f>CustomFuncGetLevel(E188,F188,G188,H188,I188)</f>
        <v>5</v>
      </c>
      <c r="N188" s="8" t="b">
        <f>AND(J188&lt;&gt;"",ISNUMBER(J188))</f>
        <v>0</v>
      </c>
      <c r="O188" s="8" t="b">
        <f>NOT(OR(AB188="削除",AB188="移管済",AB188="棚上げ",AB188="却下"))</f>
        <v>1</v>
      </c>
      <c r="P188" s="8" t="b">
        <v>1</v>
      </c>
      <c r="Q188" s="8" t="b">
        <v>1</v>
      </c>
      <c r="R188" s="8" t="str">
        <f>CustomFormatWbsId(B188,E188,F188,G188,H188,I188,J188)</f>
        <v>2.1.2.2.1</v>
      </c>
      <c r="S188" s="2"/>
      <c r="T188" s="2"/>
      <c r="U188" s="2"/>
      <c r="V188" s="2"/>
      <c r="W188" s="2" t="s">
        <v>70</v>
      </c>
      <c r="X188" s="2"/>
      <c r="Y188" s="2"/>
      <c r="Z188" s="7">
        <v>3</v>
      </c>
      <c r="AA188" s="7">
        <v>0</v>
      </c>
      <c r="AB188" s="1" t="s">
        <v>79</v>
      </c>
      <c r="AC188" s="1">
        <v>0.5</v>
      </c>
      <c r="AD188" s="3">
        <v>0.40000001589457196</v>
      </c>
      <c r="AE188" s="1">
        <v>1</v>
      </c>
      <c r="AF188" s="1" t="s">
        <v>79</v>
      </c>
      <c r="AG188" s="1" t="s">
        <v>79</v>
      </c>
      <c r="AH188" s="4"/>
      <c r="AI188" s="1">
        <v>3.5</v>
      </c>
      <c r="AJ188" s="1"/>
      <c r="AK188" s="1"/>
      <c r="AL188" s="1">
        <v>3.5</v>
      </c>
      <c r="AM188" s="1">
        <v>2.5</v>
      </c>
      <c r="AN188" s="1"/>
      <c r="AO188" s="1"/>
      <c r="AP188" s="1" t="s">
        <v>79</v>
      </c>
      <c r="AQ188" s="1" t="s">
        <v>79</v>
      </c>
      <c r="AR188" s="2"/>
    </row>
    <row r="189" spans="2:44" ht="18" customHeight="1">
      <c r="B189" s="17"/>
      <c r="C189" s="1" t="s">
        <v>1</v>
      </c>
      <c r="D189" s="1" t="s">
        <v>1</v>
      </c>
      <c r="E189" s="1">
        <v>2</v>
      </c>
      <c r="F189" s="1">
        <v>1</v>
      </c>
      <c r="G189" s="1">
        <v>2</v>
      </c>
      <c r="H189" s="1">
        <v>2</v>
      </c>
      <c r="I189" s="1">
        <v>1</v>
      </c>
      <c r="J189" s="1">
        <v>1</v>
      </c>
      <c r="K189" s="8" t="str">
        <f>CustomFormatWbsIdx(B189,E189,F189,G189,H189,I189,J189)</f>
        <v>002.001.002.002.001.001</v>
      </c>
      <c r="L189" s="8">
        <v>1</v>
      </c>
      <c r="M189" s="8">
        <f>CustomFuncGetLevel(E189,F189,G189,H189,I189)</f>
        <v>5</v>
      </c>
      <c r="N189" s="8" t="b">
        <f>AND(J189&lt;&gt;"",ISNUMBER(J189))</f>
        <v>1</v>
      </c>
      <c r="O189" s="8" t="b">
        <f>NOT(OR(AB189="削除",AB189="移管済",AB189="棚上げ",AB189="却下"))</f>
        <v>1</v>
      </c>
      <c r="P189" s="8" t="b">
        <v>1</v>
      </c>
      <c r="Q189" s="8" t="b">
        <v>0</v>
      </c>
      <c r="R189" s="8" t="str">
        <f>CustomFormatWbsId(B189,E189,F189,G189,H189,I189,J189)</f>
        <v>2.1.2.2.1.T1</v>
      </c>
      <c r="S189" s="2"/>
      <c r="T189" s="2"/>
      <c r="U189" s="2"/>
      <c r="V189" s="2"/>
      <c r="W189" s="2"/>
      <c r="X189" s="2" t="s">
        <v>71</v>
      </c>
      <c r="Y189" s="2"/>
      <c r="Z189" s="7">
        <v>1</v>
      </c>
      <c r="AA189" s="7">
        <v>0</v>
      </c>
      <c r="AB189" s="1" t="s">
        <v>79</v>
      </c>
      <c r="AC189" s="1">
        <v>0.16666666666666666</v>
      </c>
      <c r="AD189" s="3">
        <v>0.30000001192092896</v>
      </c>
      <c r="AE189" s="1">
        <v>3</v>
      </c>
      <c r="AF189" s="1" t="s">
        <v>79</v>
      </c>
      <c r="AG189" s="1" t="s">
        <v>79</v>
      </c>
      <c r="AH189" s="4"/>
      <c r="AI189" s="1">
        <v>2</v>
      </c>
      <c r="AJ189" s="1"/>
      <c r="AK189" s="1"/>
      <c r="AL189" s="1">
        <v>2.5</v>
      </c>
      <c r="AM189" s="1">
        <v>0.5</v>
      </c>
      <c r="AN189" s="1"/>
      <c r="AO189" s="1"/>
      <c r="AP189" s="1" t="s">
        <v>79</v>
      </c>
      <c r="AQ189" s="1" t="s">
        <v>79</v>
      </c>
      <c r="AR189" s="2"/>
    </row>
    <row r="190" spans="2:44" ht="18" customHeight="1">
      <c r="B190" s="17"/>
      <c r="C190" s="1" t="s">
        <v>1</v>
      </c>
      <c r="D190" s="1" t="s">
        <v>1</v>
      </c>
      <c r="E190" s="1">
        <v>2</v>
      </c>
      <c r="F190" s="1">
        <v>1</v>
      </c>
      <c r="G190" s="1">
        <v>2</v>
      </c>
      <c r="H190" s="1">
        <v>2</v>
      </c>
      <c r="I190" s="1">
        <v>1</v>
      </c>
      <c r="J190" s="1">
        <v>2</v>
      </c>
      <c r="K190" s="8" t="str">
        <f>CustomFormatWbsIdx(B190,E190,F190,G190,H190,I190,J190)</f>
        <v>002.001.002.002.001.002</v>
      </c>
      <c r="L190" s="8">
        <v>1</v>
      </c>
      <c r="M190" s="8">
        <f>CustomFuncGetLevel(E190,F190,G190,H190,I190)</f>
        <v>5</v>
      </c>
      <c r="N190" s="8" t="b">
        <f>AND(J190&lt;&gt;"",ISNUMBER(J190))</f>
        <v>1</v>
      </c>
      <c r="O190" s="8" t="b">
        <f>NOT(OR(AB190="削除",AB190="移管済",AB190="棚上げ",AB190="却下"))</f>
        <v>1</v>
      </c>
      <c r="P190" s="8" t="b">
        <v>1</v>
      </c>
      <c r="Q190" s="8" t="b">
        <v>0</v>
      </c>
      <c r="R190" s="8" t="str">
        <f>CustomFormatWbsId(B190,E190,F190,G190,H190,I190,J190)</f>
        <v>2.1.2.2.1.T2</v>
      </c>
      <c r="S190" s="2"/>
      <c r="T190" s="2"/>
      <c r="U190" s="2"/>
      <c r="V190" s="2"/>
      <c r="W190" s="2"/>
      <c r="X190" s="2" t="s">
        <v>72</v>
      </c>
      <c r="Y190" s="2"/>
      <c r="Z190" s="7">
        <v>1</v>
      </c>
      <c r="AA190" s="7">
        <v>0</v>
      </c>
      <c r="AB190" s="1" t="s">
        <v>79</v>
      </c>
      <c r="AC190" s="1">
        <v>0.33333333333333331</v>
      </c>
      <c r="AD190" s="3">
        <v>0.30000001192092896</v>
      </c>
      <c r="AE190" s="1">
        <v>1</v>
      </c>
      <c r="AF190" s="1" t="s">
        <v>79</v>
      </c>
      <c r="AG190" s="1" t="s">
        <v>79</v>
      </c>
      <c r="AH190" s="4"/>
      <c r="AI190" s="1">
        <v>1.5</v>
      </c>
      <c r="AJ190" s="1"/>
      <c r="AK190" s="1"/>
      <c r="AL190" s="1">
        <v>1</v>
      </c>
      <c r="AM190" s="1">
        <v>0.5</v>
      </c>
      <c r="AN190" s="1"/>
      <c r="AO190" s="1"/>
      <c r="AP190" s="1" t="s">
        <v>79</v>
      </c>
      <c r="AQ190" s="1" t="s">
        <v>79</v>
      </c>
      <c r="AR190" s="2"/>
    </row>
    <row r="191" spans="2:44" ht="18" customHeight="1">
      <c r="B191" s="17"/>
      <c r="C191" s="1" t="s">
        <v>1</v>
      </c>
      <c r="D191" s="1" t="s">
        <v>1</v>
      </c>
      <c r="E191" s="1">
        <v>2</v>
      </c>
      <c r="F191" s="1">
        <v>1</v>
      </c>
      <c r="G191" s="1">
        <v>2</v>
      </c>
      <c r="H191" s="1">
        <v>2</v>
      </c>
      <c r="I191" s="1">
        <v>1</v>
      </c>
      <c r="J191" s="1">
        <v>3</v>
      </c>
      <c r="K191" s="8" t="str">
        <f>CustomFormatWbsIdx(B191,E191,F191,G191,H191,I191,J191)</f>
        <v>002.001.002.002.001.003</v>
      </c>
      <c r="L191" s="8">
        <v>1</v>
      </c>
      <c r="M191" s="8">
        <f>CustomFuncGetLevel(E191,F191,G191,H191,I191)</f>
        <v>5</v>
      </c>
      <c r="N191" s="8" t="b">
        <f>AND(J191&lt;&gt;"",ISNUMBER(J191))</f>
        <v>1</v>
      </c>
      <c r="O191" s="8" t="b">
        <f>NOT(OR(AB191="削除",AB191="移管済",AB191="棚上げ",AB191="却下"))</f>
        <v>1</v>
      </c>
      <c r="P191" s="8" t="b">
        <v>1</v>
      </c>
      <c r="Q191" s="8" t="b">
        <v>0</v>
      </c>
      <c r="R191" s="8" t="str">
        <f>CustomFormatWbsId(B191,E191,F191,G191,H191,I191,J191)</f>
        <v>2.1.2.2.1.T3</v>
      </c>
      <c r="S191" s="2"/>
      <c r="T191" s="2"/>
      <c r="U191" s="2"/>
      <c r="V191" s="2"/>
      <c r="W191" s="2"/>
      <c r="X191" s="2"/>
      <c r="Y191" s="2"/>
      <c r="Z191" s="7">
        <v>1</v>
      </c>
      <c r="AA191" s="7">
        <v>0</v>
      </c>
      <c r="AB191" s="1" t="s">
        <v>79</v>
      </c>
      <c r="AC191" s="1">
        <v>1</v>
      </c>
      <c r="AD191" s="3">
        <v>0.60000002384185791</v>
      </c>
      <c r="AE191" s="1">
        <v>2</v>
      </c>
      <c r="AF191" s="1" t="s">
        <v>79</v>
      </c>
      <c r="AG191" s="1" t="s">
        <v>79</v>
      </c>
      <c r="AH191" s="4"/>
      <c r="AI191" s="1">
        <v>0</v>
      </c>
      <c r="AJ191" s="1"/>
      <c r="AK191" s="1"/>
      <c r="AL191" s="1">
        <v>0</v>
      </c>
      <c r="AM191" s="1">
        <v>1.5</v>
      </c>
      <c r="AN191" s="1"/>
      <c r="AO191" s="1"/>
      <c r="AP191" s="1" t="s">
        <v>79</v>
      </c>
      <c r="AQ191" s="1" t="s">
        <v>79</v>
      </c>
      <c r="AR191" s="2"/>
    </row>
    <row r="192" spans="2:44" ht="18" customHeight="1">
      <c r="B192" s="17"/>
      <c r="C192" s="1" t="s">
        <v>1</v>
      </c>
      <c r="D192" s="1" t="s">
        <v>1</v>
      </c>
      <c r="E192" s="1">
        <v>2</v>
      </c>
      <c r="F192" s="1">
        <v>1</v>
      </c>
      <c r="G192" s="1">
        <v>2</v>
      </c>
      <c r="H192" s="1">
        <v>2</v>
      </c>
      <c r="I192" s="1">
        <v>2</v>
      </c>
      <c r="J192" s="1"/>
      <c r="K192" s="8" t="str">
        <f>CustomFormatWbsIdx(B192,E192,F192,G192,H192,I192,J192)</f>
        <v>002.001.002.002.002.---</v>
      </c>
      <c r="L192" s="8">
        <v>1</v>
      </c>
      <c r="M192" s="8">
        <f>CustomFuncGetLevel(E192,F192,G192,H192,I192)</f>
        <v>5</v>
      </c>
      <c r="N192" s="8" t="b">
        <f>AND(J192&lt;&gt;"",ISNUMBER(J192))</f>
        <v>0</v>
      </c>
      <c r="O192" s="8" t="b">
        <f>NOT(OR(AB192="削除",AB192="移管済",AB192="棚上げ",AB192="却下"))</f>
        <v>1</v>
      </c>
      <c r="P192" s="8" t="b">
        <v>1</v>
      </c>
      <c r="Q192" s="8" t="b">
        <v>1</v>
      </c>
      <c r="R192" s="8" t="str">
        <f>CustomFormatWbsId(B192,E192,F192,G192,H192,I192,J192)</f>
        <v>2.1.2.2.2</v>
      </c>
      <c r="S192" s="2"/>
      <c r="T192" s="2"/>
      <c r="U192" s="2"/>
      <c r="V192" s="2"/>
      <c r="W192" s="2"/>
      <c r="X192" s="2"/>
      <c r="Y192" s="2"/>
      <c r="Z192" s="7">
        <v>3</v>
      </c>
      <c r="AA192" s="7">
        <v>0</v>
      </c>
      <c r="AB192" s="1" t="s">
        <v>79</v>
      </c>
      <c r="AC192" s="1">
        <v>0.59722222222222221</v>
      </c>
      <c r="AD192" s="3">
        <v>0.76666667064030969</v>
      </c>
      <c r="AE192" s="1">
        <v>1</v>
      </c>
      <c r="AF192" s="1" t="s">
        <v>79</v>
      </c>
      <c r="AG192" s="1" t="s">
        <v>79</v>
      </c>
      <c r="AH192" s="4"/>
      <c r="AI192" s="1">
        <v>3</v>
      </c>
      <c r="AJ192" s="1"/>
      <c r="AK192" s="1"/>
      <c r="AL192" s="1">
        <v>3</v>
      </c>
      <c r="AM192" s="1">
        <v>4.5</v>
      </c>
      <c r="AN192" s="1"/>
      <c r="AO192" s="1"/>
      <c r="AP192" s="1" t="s">
        <v>79</v>
      </c>
      <c r="AQ192" s="1" t="s">
        <v>79</v>
      </c>
      <c r="AR192" s="2"/>
    </row>
    <row r="193" spans="2:44" ht="18" customHeight="1">
      <c r="B193" s="17"/>
      <c r="C193" s="1" t="s">
        <v>1</v>
      </c>
      <c r="D193" s="1" t="s">
        <v>1</v>
      </c>
      <c r="E193" s="1">
        <v>2</v>
      </c>
      <c r="F193" s="1">
        <v>1</v>
      </c>
      <c r="G193" s="1">
        <v>2</v>
      </c>
      <c r="H193" s="1">
        <v>2</v>
      </c>
      <c r="I193" s="1">
        <v>2</v>
      </c>
      <c r="J193" s="1">
        <v>1</v>
      </c>
      <c r="K193" s="8" t="str">
        <f>CustomFormatWbsIdx(B193,E193,F193,G193,H193,I193,J193)</f>
        <v>002.001.002.002.002.001</v>
      </c>
      <c r="L193" s="8">
        <v>1</v>
      </c>
      <c r="M193" s="8">
        <f>CustomFuncGetLevel(E193,F193,G193,H193,I193)</f>
        <v>5</v>
      </c>
      <c r="N193" s="8" t="b">
        <f>AND(J193&lt;&gt;"",ISNUMBER(J193))</f>
        <v>1</v>
      </c>
      <c r="O193" s="8" t="b">
        <f>NOT(OR(AB193="削除",AB193="移管済",AB193="棚上げ",AB193="却下"))</f>
        <v>1</v>
      </c>
      <c r="P193" s="8" t="b">
        <v>1</v>
      </c>
      <c r="Q193" s="8" t="b">
        <v>0</v>
      </c>
      <c r="R193" s="8" t="str">
        <f>CustomFormatWbsId(B193,E193,F193,G193,H193,I193,J193)</f>
        <v>2.1.2.2.2.T1</v>
      </c>
      <c r="S193" s="2"/>
      <c r="T193" s="2"/>
      <c r="U193" s="2"/>
      <c r="V193" s="2"/>
      <c r="W193" s="2"/>
      <c r="X193" s="2" t="s">
        <v>71</v>
      </c>
      <c r="Y193" s="2"/>
      <c r="Z193" s="7">
        <v>1</v>
      </c>
      <c r="AA193" s="7">
        <v>0</v>
      </c>
      <c r="AB193" s="1" t="s">
        <v>79</v>
      </c>
      <c r="AC193" s="1">
        <v>0.66666666666666663</v>
      </c>
      <c r="AD193" s="3">
        <v>0.89999997615814209</v>
      </c>
      <c r="AE193" s="1">
        <v>2</v>
      </c>
      <c r="AF193" s="1" t="s">
        <v>79</v>
      </c>
      <c r="AG193" s="1" t="s">
        <v>79</v>
      </c>
      <c r="AH193" s="4"/>
      <c r="AI193" s="1">
        <v>1</v>
      </c>
      <c r="AJ193" s="1"/>
      <c r="AK193" s="1"/>
      <c r="AL193" s="1">
        <v>0.5</v>
      </c>
      <c r="AM193" s="1">
        <v>1</v>
      </c>
      <c r="AN193" s="1"/>
      <c r="AO193" s="1"/>
      <c r="AP193" s="1" t="s">
        <v>79</v>
      </c>
      <c r="AQ193" s="1" t="s">
        <v>79</v>
      </c>
      <c r="AR193" s="2"/>
    </row>
    <row r="194" spans="2:44" ht="18" customHeight="1">
      <c r="B194" s="17"/>
      <c r="C194" s="1" t="s">
        <v>1</v>
      </c>
      <c r="D194" s="1" t="s">
        <v>1</v>
      </c>
      <c r="E194" s="1">
        <v>2</v>
      </c>
      <c r="F194" s="1">
        <v>1</v>
      </c>
      <c r="G194" s="1">
        <v>2</v>
      </c>
      <c r="H194" s="1">
        <v>2</v>
      </c>
      <c r="I194" s="1">
        <v>2</v>
      </c>
      <c r="J194" s="1">
        <v>2</v>
      </c>
      <c r="K194" s="8" t="str">
        <f>CustomFormatWbsIdx(B194,E194,F194,G194,H194,I194,J194)</f>
        <v>002.001.002.002.002.002</v>
      </c>
      <c r="L194" s="8">
        <v>1</v>
      </c>
      <c r="M194" s="8">
        <f>CustomFuncGetLevel(E194,F194,G194,H194,I194)</f>
        <v>5</v>
      </c>
      <c r="N194" s="8" t="b">
        <f>AND(J194&lt;&gt;"",ISNUMBER(J194))</f>
        <v>1</v>
      </c>
      <c r="O194" s="8" t="b">
        <f>NOT(OR(AB194="削除",AB194="移管済",AB194="棚上げ",AB194="却下"))</f>
        <v>1</v>
      </c>
      <c r="P194" s="8" t="b">
        <v>1</v>
      </c>
      <c r="Q194" s="8" t="b">
        <v>0</v>
      </c>
      <c r="R194" s="8" t="str">
        <f>CustomFormatWbsId(B194,E194,F194,G194,H194,I194,J194)</f>
        <v>2.1.2.2.2.T2</v>
      </c>
      <c r="S194" s="2"/>
      <c r="T194" s="2"/>
      <c r="U194" s="2"/>
      <c r="V194" s="2"/>
      <c r="W194" s="2"/>
      <c r="X194" s="2" t="s">
        <v>72</v>
      </c>
      <c r="Y194" s="2"/>
      <c r="Z194" s="7">
        <v>1</v>
      </c>
      <c r="AA194" s="7">
        <v>0</v>
      </c>
      <c r="AB194" s="1" t="s">
        <v>79</v>
      </c>
      <c r="AC194" s="1">
        <v>0.5</v>
      </c>
      <c r="AD194" s="3">
        <v>1</v>
      </c>
      <c r="AE194" s="1">
        <v>1</v>
      </c>
      <c r="AF194" s="1" t="s">
        <v>79</v>
      </c>
      <c r="AG194" s="1" t="s">
        <v>79</v>
      </c>
      <c r="AH194" s="4"/>
      <c r="AI194" s="1">
        <v>2</v>
      </c>
      <c r="AJ194" s="1"/>
      <c r="AK194" s="1"/>
      <c r="AL194" s="1">
        <v>1</v>
      </c>
      <c r="AM194" s="1">
        <v>1</v>
      </c>
      <c r="AN194" s="1"/>
      <c r="AO194" s="1"/>
      <c r="AP194" s="1" t="s">
        <v>79</v>
      </c>
      <c r="AQ194" s="1" t="s">
        <v>79</v>
      </c>
      <c r="AR194" s="2"/>
    </row>
    <row r="195" spans="2:44" ht="18" customHeight="1">
      <c r="B195" s="17"/>
      <c r="C195" s="1" t="s">
        <v>1</v>
      </c>
      <c r="D195" s="1" t="s">
        <v>1</v>
      </c>
      <c r="E195" s="1">
        <v>2</v>
      </c>
      <c r="F195" s="1">
        <v>1</v>
      </c>
      <c r="G195" s="1">
        <v>2</v>
      </c>
      <c r="H195" s="1">
        <v>2</v>
      </c>
      <c r="I195" s="1">
        <v>2</v>
      </c>
      <c r="J195" s="1">
        <v>3</v>
      </c>
      <c r="K195" s="8" t="str">
        <f>CustomFormatWbsIdx(B195,E195,F195,G195,H195,I195,J195)</f>
        <v>002.001.002.002.002.003</v>
      </c>
      <c r="L195" s="8">
        <v>1</v>
      </c>
      <c r="M195" s="8">
        <f>CustomFuncGetLevel(E195,F195,G195,H195,I195)</f>
        <v>5</v>
      </c>
      <c r="N195" s="8" t="b">
        <f>AND(J195&lt;&gt;"",ISNUMBER(J195))</f>
        <v>1</v>
      </c>
      <c r="O195" s="8" t="b">
        <f>NOT(OR(AB195="削除",AB195="移管済",AB195="棚上げ",AB195="却下"))</f>
        <v>1</v>
      </c>
      <c r="P195" s="8" t="b">
        <v>1</v>
      </c>
      <c r="Q195" s="8" t="b">
        <v>0</v>
      </c>
      <c r="R195" s="8" t="str">
        <f>CustomFormatWbsId(B195,E195,F195,G195,H195,I195,J195)</f>
        <v>2.1.2.2.2.T3</v>
      </c>
      <c r="S195" s="2"/>
      <c r="T195" s="2"/>
      <c r="U195" s="2"/>
      <c r="V195" s="2"/>
      <c r="W195" s="2"/>
      <c r="X195" s="2"/>
      <c r="Y195" s="2"/>
      <c r="Z195" s="7">
        <v>1</v>
      </c>
      <c r="AA195" s="7">
        <v>0</v>
      </c>
      <c r="AB195" s="1" t="s">
        <v>79</v>
      </c>
      <c r="AC195" s="1">
        <v>0.625</v>
      </c>
      <c r="AD195" s="3">
        <v>0.60000002384185791</v>
      </c>
      <c r="AE195" s="1">
        <v>3</v>
      </c>
      <c r="AF195" s="1" t="s">
        <v>79</v>
      </c>
      <c r="AG195" s="1" t="s">
        <v>79</v>
      </c>
      <c r="AH195" s="4"/>
      <c r="AI195" s="1">
        <v>0</v>
      </c>
      <c r="AJ195" s="1"/>
      <c r="AK195" s="1"/>
      <c r="AL195" s="1">
        <v>1.5</v>
      </c>
      <c r="AM195" s="1">
        <v>2.5</v>
      </c>
      <c r="AN195" s="1"/>
      <c r="AO195" s="1"/>
      <c r="AP195" s="1" t="s">
        <v>79</v>
      </c>
      <c r="AQ195" s="1" t="s">
        <v>79</v>
      </c>
      <c r="AR195" s="2"/>
    </row>
    <row r="196" spans="2:44" ht="18" customHeight="1">
      <c r="B196" s="17"/>
      <c r="C196" s="1" t="s">
        <v>1</v>
      </c>
      <c r="D196" s="1" t="s">
        <v>1</v>
      </c>
      <c r="E196" s="1">
        <v>2</v>
      </c>
      <c r="F196" s="1">
        <v>2</v>
      </c>
      <c r="G196" s="1"/>
      <c r="H196" s="1"/>
      <c r="I196" s="1"/>
      <c r="J196" s="1"/>
      <c r="K196" s="8" t="str">
        <f>CustomFormatWbsIdx(B196,E196,F196,G196,H196,I196,J196)</f>
        <v>002.002.---.---.---.---</v>
      </c>
      <c r="L196" s="8">
        <v>1</v>
      </c>
      <c r="M196" s="8">
        <f>CustomFuncGetLevel(E196,F196,G196,H196,I196)</f>
        <v>2</v>
      </c>
      <c r="N196" s="8" t="b">
        <f>AND(J196&lt;&gt;"",ISNUMBER(J196))</f>
        <v>0</v>
      </c>
      <c r="O196" s="8" t="b">
        <f>NOT(OR(AB196="削除",AB196="移管済",AB196="棚上げ",AB196="却下"))</f>
        <v>1</v>
      </c>
      <c r="P196" s="8" t="b">
        <v>1</v>
      </c>
      <c r="Q196" s="8" t="b">
        <v>1</v>
      </c>
      <c r="R196" s="8" t="str">
        <f>CustomFormatWbsId(B196,E196,F196,G196,H196,I196,J196)</f>
        <v>2.2</v>
      </c>
      <c r="S196" s="2"/>
      <c r="T196" s="2"/>
      <c r="U196" s="2"/>
      <c r="V196" s="2"/>
      <c r="W196" s="2"/>
      <c r="X196" s="2"/>
      <c r="Y196" s="2"/>
      <c r="Z196" s="7">
        <v>14</v>
      </c>
      <c r="AA196" s="7">
        <v>2</v>
      </c>
      <c r="AB196" s="1" t="s">
        <v>79</v>
      </c>
      <c r="AC196" s="1">
        <v>0.58194444444444438</v>
      </c>
      <c r="AD196" s="3">
        <v>0.57280000015894572</v>
      </c>
      <c r="AE196" s="1">
        <v>1</v>
      </c>
      <c r="AF196" s="1" t="s">
        <v>79</v>
      </c>
      <c r="AG196" s="1" t="s">
        <v>79</v>
      </c>
      <c r="AH196" s="4"/>
      <c r="AI196" s="1">
        <v>12</v>
      </c>
      <c r="AJ196" s="1"/>
      <c r="AK196" s="1"/>
      <c r="AL196" s="1">
        <v>14.5</v>
      </c>
      <c r="AM196" s="1">
        <v>17.5</v>
      </c>
      <c r="AN196" s="1"/>
      <c r="AO196" s="1"/>
      <c r="AP196" s="1" t="s">
        <v>79</v>
      </c>
      <c r="AQ196" s="1" t="s">
        <v>79</v>
      </c>
      <c r="AR196" s="2"/>
    </row>
    <row r="197" spans="2:44" ht="18" customHeight="1">
      <c r="B197" s="17"/>
      <c r="C197" s="1" t="s">
        <v>1</v>
      </c>
      <c r="D197" s="1" t="s">
        <v>1</v>
      </c>
      <c r="E197" s="1">
        <v>2</v>
      </c>
      <c r="F197" s="1">
        <v>2</v>
      </c>
      <c r="G197" s="1"/>
      <c r="H197" s="1"/>
      <c r="I197" s="1"/>
      <c r="J197" s="1">
        <v>1</v>
      </c>
      <c r="K197" s="8" t="str">
        <f>CustomFormatWbsIdx(B197,E197,F197,G197,H197,I197,J197)</f>
        <v>002.002.---.---.---.001</v>
      </c>
      <c r="L197" s="8">
        <v>1</v>
      </c>
      <c r="M197" s="8">
        <f>CustomFuncGetLevel(E197,F197,G197,H197,I197)</f>
        <v>2</v>
      </c>
      <c r="N197" s="8" t="b">
        <f>AND(J197&lt;&gt;"",ISNUMBER(J197))</f>
        <v>1</v>
      </c>
      <c r="O197" s="8" t="b">
        <f>NOT(OR(AB197="削除",AB197="移管済",AB197="棚上げ",AB197="却下"))</f>
        <v>1</v>
      </c>
      <c r="P197" s="8" t="b">
        <v>1</v>
      </c>
      <c r="Q197" s="8" t="b">
        <v>0</v>
      </c>
      <c r="R197" s="8" t="str">
        <f>CustomFormatWbsId(B197,E197,F197,G197,H197,I197,J197)</f>
        <v>2.2.T1</v>
      </c>
      <c r="S197" s="2"/>
      <c r="T197" s="2"/>
      <c r="U197" s="2"/>
      <c r="V197" s="2"/>
      <c r="W197" s="2"/>
      <c r="X197" s="2" t="s">
        <v>59</v>
      </c>
      <c r="Y197" s="2"/>
      <c r="Z197" s="7">
        <v>1</v>
      </c>
      <c r="AA197" s="7">
        <v>0</v>
      </c>
      <c r="AB197" s="1" t="s">
        <v>80</v>
      </c>
      <c r="AC197" s="1">
        <v>0.66666666666666663</v>
      </c>
      <c r="AD197" s="3">
        <v>0.30000001192092896</v>
      </c>
      <c r="AE197" s="1">
        <v>1</v>
      </c>
      <c r="AF197" s="1" t="s">
        <v>79</v>
      </c>
      <c r="AG197" s="1" t="s">
        <v>79</v>
      </c>
      <c r="AH197" s="4"/>
      <c r="AI197" s="1">
        <v>0</v>
      </c>
      <c r="AJ197" s="1"/>
      <c r="AK197" s="1"/>
      <c r="AL197" s="1">
        <v>1</v>
      </c>
      <c r="AM197" s="1">
        <v>2</v>
      </c>
      <c r="AN197" s="1"/>
      <c r="AO197" s="1"/>
      <c r="AP197" s="1" t="s">
        <v>79</v>
      </c>
      <c r="AQ197" s="1" t="s">
        <v>79</v>
      </c>
      <c r="AR197" s="2"/>
    </row>
    <row r="198" spans="2:44" ht="18" customHeight="1">
      <c r="B198" s="17"/>
      <c r="C198" s="1" t="s">
        <v>1</v>
      </c>
      <c r="D198" s="1" t="s">
        <v>1</v>
      </c>
      <c r="E198" s="1">
        <v>2</v>
      </c>
      <c r="F198" s="1">
        <v>2</v>
      </c>
      <c r="G198" s="1"/>
      <c r="H198" s="1"/>
      <c r="I198" s="1"/>
      <c r="J198" s="1">
        <v>2</v>
      </c>
      <c r="K198" s="8" t="str">
        <f>CustomFormatWbsIdx(B198,E198,F198,G198,H198,I198,J198)</f>
        <v>002.002.---.---.---.002</v>
      </c>
      <c r="L198" s="8">
        <v>1</v>
      </c>
      <c r="M198" s="8">
        <f>CustomFuncGetLevel(E198,F198,G198,H198,I198)</f>
        <v>2</v>
      </c>
      <c r="N198" s="8" t="b">
        <f>AND(J198&lt;&gt;"",ISNUMBER(J198))</f>
        <v>1</v>
      </c>
      <c r="O198" s="8" t="b">
        <f>NOT(OR(AB198="削除",AB198="移管済",AB198="棚上げ",AB198="却下"))</f>
        <v>0</v>
      </c>
      <c r="P198" s="8" t="b">
        <v>1</v>
      </c>
      <c r="Q198" s="8" t="b">
        <v>0</v>
      </c>
      <c r="R198" s="8" t="str">
        <f>CustomFormatWbsId(B198,E198,F198,G198,H198,I198,J198)</f>
        <v>2.2.T2</v>
      </c>
      <c r="S198" s="2"/>
      <c r="T198" s="2"/>
      <c r="U198" s="2"/>
      <c r="V198" s="2"/>
      <c r="W198" s="2"/>
      <c r="X198" s="2" t="s">
        <v>60</v>
      </c>
      <c r="Y198" s="2"/>
      <c r="Z198" s="7">
        <v>1</v>
      </c>
      <c r="AA198" s="7">
        <v>0</v>
      </c>
      <c r="AB198" s="1" t="s">
        <v>81</v>
      </c>
      <c r="AC198" s="1">
        <v>0.33333333333333331</v>
      </c>
      <c r="AD198" s="3">
        <v>0.30000001192092896</v>
      </c>
      <c r="AE198" s="1">
        <v>1</v>
      </c>
      <c r="AF198" s="1" t="s">
        <v>79</v>
      </c>
      <c r="AG198" s="1" t="s">
        <v>79</v>
      </c>
      <c r="AH198" s="4"/>
      <c r="AI198" s="1">
        <v>1</v>
      </c>
      <c r="AJ198" s="1"/>
      <c r="AK198" s="1"/>
      <c r="AL198" s="1">
        <v>2</v>
      </c>
      <c r="AM198" s="1">
        <v>1</v>
      </c>
      <c r="AN198" s="1"/>
      <c r="AO198" s="1"/>
      <c r="AP198" s="1" t="s">
        <v>79</v>
      </c>
      <c r="AQ198" s="1" t="s">
        <v>79</v>
      </c>
      <c r="AR198" s="2"/>
    </row>
    <row r="199" spans="2:44" ht="18" customHeight="1">
      <c r="B199" s="17"/>
      <c r="C199" s="1" t="s">
        <v>1</v>
      </c>
      <c r="D199" s="1" t="s">
        <v>1</v>
      </c>
      <c r="E199" s="1">
        <v>2</v>
      </c>
      <c r="F199" s="1">
        <v>2</v>
      </c>
      <c r="G199" s="1"/>
      <c r="H199" s="1"/>
      <c r="I199" s="1"/>
      <c r="J199" s="1">
        <v>3</v>
      </c>
      <c r="K199" s="8" t="str">
        <f>CustomFormatWbsIdx(B199,E199,F199,G199,H199,I199,J199)</f>
        <v>002.002.---.---.---.003</v>
      </c>
      <c r="L199" s="8">
        <v>1</v>
      </c>
      <c r="M199" s="8">
        <f>CustomFuncGetLevel(E199,F199,G199,H199,I199)</f>
        <v>2</v>
      </c>
      <c r="N199" s="8" t="b">
        <f>AND(J199&lt;&gt;"",ISNUMBER(J199))</f>
        <v>1</v>
      </c>
      <c r="O199" s="8" t="b">
        <f>NOT(OR(AB199="削除",AB199="移管済",AB199="棚上げ",AB199="却下"))</f>
        <v>1</v>
      </c>
      <c r="P199" s="8" t="b">
        <v>1</v>
      </c>
      <c r="Q199" s="8" t="b">
        <v>0</v>
      </c>
      <c r="R199" s="8" t="str">
        <f>CustomFormatWbsId(B199,E199,F199,G199,H199,I199,J199)</f>
        <v>2.2.T3</v>
      </c>
      <c r="S199" s="2"/>
      <c r="T199" s="2"/>
      <c r="U199" s="2"/>
      <c r="V199" s="2"/>
      <c r="W199" s="2"/>
      <c r="X199" s="2" t="s">
        <v>61</v>
      </c>
      <c r="Y199" s="2"/>
      <c r="Z199" s="7">
        <v>1</v>
      </c>
      <c r="AA199" s="7">
        <v>0</v>
      </c>
      <c r="AB199" s="1" t="s">
        <v>79</v>
      </c>
      <c r="AC199" s="1">
        <v>0.5</v>
      </c>
      <c r="AD199" s="3">
        <v>0.69999998807907104</v>
      </c>
      <c r="AE199" s="1">
        <v>1</v>
      </c>
      <c r="AF199" s="1" t="s">
        <v>79</v>
      </c>
      <c r="AG199" s="1" t="s">
        <v>79</v>
      </c>
      <c r="AH199" s="4"/>
      <c r="AI199" s="1">
        <v>1.5</v>
      </c>
      <c r="AJ199" s="1"/>
      <c r="AK199" s="1"/>
      <c r="AL199" s="1">
        <v>0.5</v>
      </c>
      <c r="AM199" s="1">
        <v>0.5</v>
      </c>
      <c r="AN199" s="1"/>
      <c r="AO199" s="1"/>
      <c r="AP199" s="1" t="s">
        <v>79</v>
      </c>
      <c r="AQ199" s="1" t="s">
        <v>79</v>
      </c>
      <c r="AR199" s="2"/>
    </row>
    <row r="200" spans="2:44" ht="18" customHeight="1">
      <c r="B200" s="17"/>
      <c r="C200" s="1" t="s">
        <v>1</v>
      </c>
      <c r="D200" s="1" t="s">
        <v>1</v>
      </c>
      <c r="E200" s="1">
        <v>2</v>
      </c>
      <c r="F200" s="1">
        <v>2</v>
      </c>
      <c r="G200" s="1">
        <v>1</v>
      </c>
      <c r="H200" s="1"/>
      <c r="I200" s="1"/>
      <c r="J200" s="1"/>
      <c r="K200" s="8" t="str">
        <f>CustomFormatWbsIdx(B200,E200,F200,G200,H200,I200,J200)</f>
        <v>002.002.001.---.---.---</v>
      </c>
      <c r="L200" s="8">
        <v>1</v>
      </c>
      <c r="M200" s="8">
        <f>CustomFuncGetLevel(E200,F200,G200,H200,I200)</f>
        <v>3</v>
      </c>
      <c r="N200" s="8" t="b">
        <f>AND(J200&lt;&gt;"",ISNUMBER(J200))</f>
        <v>0</v>
      </c>
      <c r="O200" s="8" t="b">
        <f>NOT(OR(AB200="削除",AB200="移管済",AB200="棚上げ",AB200="却下"))</f>
        <v>1</v>
      </c>
      <c r="P200" s="8" t="b">
        <v>1</v>
      </c>
      <c r="Q200" s="8" t="b">
        <v>1</v>
      </c>
      <c r="R200" s="8" t="str">
        <f>CustomFormatWbsId(B200,E200,F200,G200,H200,I200,J200)</f>
        <v>2.2.1</v>
      </c>
      <c r="S200" s="2"/>
      <c r="T200" s="2"/>
      <c r="U200" s="2" t="s">
        <v>62</v>
      </c>
      <c r="V200" s="2"/>
      <c r="W200" s="2"/>
      <c r="X200" s="2"/>
      <c r="Y200" s="2"/>
      <c r="Z200" s="7">
        <v>12</v>
      </c>
      <c r="AA200" s="7">
        <v>2</v>
      </c>
      <c r="AB200" s="1" t="s">
        <v>79</v>
      </c>
      <c r="AC200" s="1">
        <v>0.57916666666666661</v>
      </c>
      <c r="AD200" s="3">
        <v>0.71840000047683716</v>
      </c>
      <c r="AE200" s="1">
        <v>1</v>
      </c>
      <c r="AF200" s="1" t="s">
        <v>79</v>
      </c>
      <c r="AG200" s="1" t="s">
        <v>79</v>
      </c>
      <c r="AH200" s="4"/>
      <c r="AI200" s="1">
        <v>10.5</v>
      </c>
      <c r="AJ200" s="1"/>
      <c r="AK200" s="1"/>
      <c r="AL200" s="1">
        <v>13</v>
      </c>
      <c r="AM200" s="1">
        <v>15</v>
      </c>
      <c r="AN200" s="1"/>
      <c r="AO200" s="1"/>
      <c r="AP200" s="1" t="s">
        <v>79</v>
      </c>
      <c r="AQ200" s="1" t="s">
        <v>79</v>
      </c>
      <c r="AR200" s="2"/>
    </row>
    <row r="201" spans="2:44" ht="18" customHeight="1">
      <c r="B201" s="17"/>
      <c r="C201" s="1" t="s">
        <v>1</v>
      </c>
      <c r="D201" s="1" t="s">
        <v>1</v>
      </c>
      <c r="E201" s="1">
        <v>2</v>
      </c>
      <c r="F201" s="1">
        <v>2</v>
      </c>
      <c r="G201" s="1">
        <v>1</v>
      </c>
      <c r="H201" s="1"/>
      <c r="I201" s="1"/>
      <c r="J201" s="1">
        <v>1</v>
      </c>
      <c r="K201" s="8" t="str">
        <f>CustomFormatWbsIdx(B201,E201,F201,G201,H201,I201,J201)</f>
        <v>002.002.001.---.---.001</v>
      </c>
      <c r="L201" s="8">
        <v>1</v>
      </c>
      <c r="M201" s="8">
        <f>CustomFuncGetLevel(E201,F201,G201,H201,I201)</f>
        <v>3</v>
      </c>
      <c r="N201" s="8" t="b">
        <f>AND(J201&lt;&gt;"",ISNUMBER(J201))</f>
        <v>1</v>
      </c>
      <c r="O201" s="8" t="b">
        <f>NOT(OR(AB201="削除",AB201="移管済",AB201="棚上げ",AB201="却下"))</f>
        <v>0</v>
      </c>
      <c r="P201" s="8" t="b">
        <v>1</v>
      </c>
      <c r="Q201" s="8" t="b">
        <v>0</v>
      </c>
      <c r="R201" s="8" t="str">
        <f>CustomFormatWbsId(B201,E201,F201,G201,H201,I201,J201)</f>
        <v>2.2.1.T1</v>
      </c>
      <c r="S201" s="2"/>
      <c r="T201" s="2"/>
      <c r="U201" s="2"/>
      <c r="V201" s="2"/>
      <c r="W201" s="2"/>
      <c r="X201" s="2" t="s">
        <v>63</v>
      </c>
      <c r="Y201" s="2"/>
      <c r="Z201" s="7">
        <v>1</v>
      </c>
      <c r="AA201" s="7">
        <v>0</v>
      </c>
      <c r="AB201" s="1" t="s">
        <v>82</v>
      </c>
      <c r="AC201" s="1">
        <v>0.25</v>
      </c>
      <c r="AD201" s="3">
        <v>0</v>
      </c>
      <c r="AE201" s="1">
        <v>3</v>
      </c>
      <c r="AF201" s="1" t="s">
        <v>79</v>
      </c>
      <c r="AG201" s="1" t="s">
        <v>79</v>
      </c>
      <c r="AH201" s="4"/>
      <c r="AI201" s="1">
        <v>0.5</v>
      </c>
      <c r="AJ201" s="1"/>
      <c r="AK201" s="1"/>
      <c r="AL201" s="1">
        <v>1.5</v>
      </c>
      <c r="AM201" s="1">
        <v>0.5</v>
      </c>
      <c r="AN201" s="1"/>
      <c r="AO201" s="1"/>
      <c r="AP201" s="1" t="s">
        <v>79</v>
      </c>
      <c r="AQ201" s="1" t="s">
        <v>79</v>
      </c>
      <c r="AR201" s="2"/>
    </row>
    <row r="202" spans="2:44" ht="18" customHeight="1">
      <c r="B202" s="17"/>
      <c r="C202" s="1" t="s">
        <v>1</v>
      </c>
      <c r="D202" s="1" t="s">
        <v>1</v>
      </c>
      <c r="E202" s="1">
        <v>2</v>
      </c>
      <c r="F202" s="1">
        <v>2</v>
      </c>
      <c r="G202" s="1">
        <v>1</v>
      </c>
      <c r="H202" s="1"/>
      <c r="I202" s="1"/>
      <c r="J202" s="1">
        <v>2</v>
      </c>
      <c r="K202" s="8" t="str">
        <f>CustomFormatWbsIdx(B202,E202,F202,G202,H202,I202,J202)</f>
        <v>002.002.001.---.---.002</v>
      </c>
      <c r="L202" s="8">
        <v>1</v>
      </c>
      <c r="M202" s="8">
        <f>CustomFuncGetLevel(E202,F202,G202,H202,I202)</f>
        <v>3</v>
      </c>
      <c r="N202" s="8" t="b">
        <f>AND(J202&lt;&gt;"",ISNUMBER(J202))</f>
        <v>1</v>
      </c>
      <c r="O202" s="8" t="b">
        <f>NOT(OR(AB202="削除",AB202="移管済",AB202="棚上げ",AB202="却下"))</f>
        <v>1</v>
      </c>
      <c r="P202" s="8" t="b">
        <v>1</v>
      </c>
      <c r="Q202" s="8" t="b">
        <v>0</v>
      </c>
      <c r="R202" s="8" t="str">
        <f>CustomFormatWbsId(B202,E202,F202,G202,H202,I202,J202)</f>
        <v>2.2.1.T2</v>
      </c>
      <c r="S202" s="2"/>
      <c r="T202" s="2"/>
      <c r="U202" s="2"/>
      <c r="V202" s="2"/>
      <c r="W202" s="2"/>
      <c r="X202" s="2" t="s">
        <v>64</v>
      </c>
      <c r="Y202" s="2"/>
      <c r="Z202" s="7">
        <v>1</v>
      </c>
      <c r="AA202" s="7">
        <v>0</v>
      </c>
      <c r="AB202" s="1" t="s">
        <v>83</v>
      </c>
      <c r="AC202" s="1">
        <v>0.2</v>
      </c>
      <c r="AD202" s="3">
        <v>0.89999997615814209</v>
      </c>
      <c r="AE202" s="1">
        <v>1</v>
      </c>
      <c r="AF202" s="1" t="s">
        <v>79</v>
      </c>
      <c r="AG202" s="1" t="s">
        <v>79</v>
      </c>
      <c r="AH202" s="4"/>
      <c r="AI202" s="1">
        <v>0.5</v>
      </c>
      <c r="AJ202" s="1"/>
      <c r="AK202" s="1"/>
      <c r="AL202" s="1">
        <v>2</v>
      </c>
      <c r="AM202" s="1">
        <v>0.5</v>
      </c>
      <c r="AN202" s="1"/>
      <c r="AO202" s="1"/>
      <c r="AP202" s="1" t="s">
        <v>79</v>
      </c>
      <c r="AQ202" s="1" t="s">
        <v>79</v>
      </c>
      <c r="AR202" s="2"/>
    </row>
    <row r="203" spans="2:44" ht="18" customHeight="1">
      <c r="B203" s="17"/>
      <c r="C203" s="1" t="s">
        <v>1</v>
      </c>
      <c r="D203" s="1" t="s">
        <v>1</v>
      </c>
      <c r="E203" s="1">
        <v>2</v>
      </c>
      <c r="F203" s="1">
        <v>2</v>
      </c>
      <c r="G203" s="1">
        <v>1</v>
      </c>
      <c r="H203" s="1"/>
      <c r="I203" s="1"/>
      <c r="J203" s="1">
        <v>3</v>
      </c>
      <c r="K203" s="8" t="str">
        <f>CustomFormatWbsIdx(B203,E203,F203,G203,H203,I203,J203)</f>
        <v>002.002.001.---.---.003</v>
      </c>
      <c r="L203" s="8">
        <v>1</v>
      </c>
      <c r="M203" s="8">
        <f>CustomFuncGetLevel(E203,F203,G203,H203,I203)</f>
        <v>3</v>
      </c>
      <c r="N203" s="8" t="b">
        <f>AND(J203&lt;&gt;"",ISNUMBER(J203))</f>
        <v>1</v>
      </c>
      <c r="O203" s="8" t="b">
        <f>NOT(OR(AB203="削除",AB203="移管済",AB203="棚上げ",AB203="却下"))</f>
        <v>1</v>
      </c>
      <c r="P203" s="8" t="b">
        <v>1</v>
      </c>
      <c r="Q203" s="8" t="b">
        <v>0</v>
      </c>
      <c r="R203" s="8" t="str">
        <f>CustomFormatWbsId(B203,E203,F203,G203,H203,I203,J203)</f>
        <v>2.2.1.T3</v>
      </c>
      <c r="S203" s="2"/>
      <c r="T203" s="2"/>
      <c r="U203" s="2"/>
      <c r="V203" s="2"/>
      <c r="W203" s="2"/>
      <c r="X203" s="2" t="s">
        <v>65</v>
      </c>
      <c r="Y203" s="2"/>
      <c r="Z203" s="7">
        <v>1</v>
      </c>
      <c r="AA203" s="7">
        <v>0</v>
      </c>
      <c r="AB203" s="1" t="s">
        <v>79</v>
      </c>
      <c r="AC203" s="1">
        <v>0.5</v>
      </c>
      <c r="AD203" s="3">
        <v>0.30000001192092896</v>
      </c>
      <c r="AE203" s="1">
        <v>1</v>
      </c>
      <c r="AF203" s="1" t="s">
        <v>79</v>
      </c>
      <c r="AG203" s="1" t="s">
        <v>79</v>
      </c>
      <c r="AH203" s="4"/>
      <c r="AI203" s="1">
        <v>0</v>
      </c>
      <c r="AJ203" s="1"/>
      <c r="AK203" s="1"/>
      <c r="AL203" s="1">
        <v>1</v>
      </c>
      <c r="AM203" s="1">
        <v>1</v>
      </c>
      <c r="AN203" s="1"/>
      <c r="AO203" s="1"/>
      <c r="AP203" s="1" t="s">
        <v>79</v>
      </c>
      <c r="AQ203" s="1" t="s">
        <v>79</v>
      </c>
      <c r="AR203" s="2"/>
    </row>
    <row r="204" spans="2:44" ht="18" customHeight="1">
      <c r="B204" s="17"/>
      <c r="C204" s="1" t="s">
        <v>1</v>
      </c>
      <c r="D204" s="1" t="s">
        <v>1</v>
      </c>
      <c r="E204" s="1">
        <v>2</v>
      </c>
      <c r="F204" s="1">
        <v>2</v>
      </c>
      <c r="G204" s="1">
        <v>1</v>
      </c>
      <c r="H204" s="1">
        <v>1</v>
      </c>
      <c r="I204" s="1"/>
      <c r="J204" s="1"/>
      <c r="K204" s="8" t="str">
        <f>CustomFormatWbsIdx(B204,E204,F204,G204,H204,I204,J204)</f>
        <v>002.002.001.001.---.---</v>
      </c>
      <c r="L204" s="8">
        <v>1</v>
      </c>
      <c r="M204" s="8">
        <f>CustomFuncGetLevel(E204,F204,G204,H204,I204)</f>
        <v>4</v>
      </c>
      <c r="N204" s="8" t="b">
        <f>AND(J204&lt;&gt;"",ISNUMBER(J204))</f>
        <v>0</v>
      </c>
      <c r="O204" s="8" t="b">
        <f>NOT(OR(AB204="削除",AB204="移管済",AB204="棚上げ",AB204="却下"))</f>
        <v>1</v>
      </c>
      <c r="P204" s="8" t="b">
        <v>1</v>
      </c>
      <c r="Q204" s="8" t="b">
        <v>1</v>
      </c>
      <c r="R204" s="8" t="str">
        <f>CustomFormatWbsId(B204,E204,F204,G204,H204,I204,J204)</f>
        <v>2.2.1.1</v>
      </c>
      <c r="S204" s="2"/>
      <c r="T204" s="2"/>
      <c r="U204" s="2"/>
      <c r="V204" s="2" t="s">
        <v>66</v>
      </c>
      <c r="W204" s="2"/>
      <c r="X204" s="2"/>
      <c r="Y204" s="2"/>
      <c r="Z204" s="7">
        <v>9</v>
      </c>
      <c r="AA204" s="7">
        <v>1</v>
      </c>
      <c r="AB204" s="1" t="s">
        <v>79</v>
      </c>
      <c r="AC204" s="1">
        <v>0.6166666666666667</v>
      </c>
      <c r="AD204" s="3">
        <v>0.69600000715255739</v>
      </c>
      <c r="AE204" s="1">
        <v>2</v>
      </c>
      <c r="AF204" s="1" t="s">
        <v>79</v>
      </c>
      <c r="AG204" s="1" t="s">
        <v>79</v>
      </c>
      <c r="AH204" s="4"/>
      <c r="AI204" s="1">
        <v>9</v>
      </c>
      <c r="AJ204" s="1"/>
      <c r="AK204" s="1"/>
      <c r="AL204" s="1">
        <v>10</v>
      </c>
      <c r="AM204" s="1">
        <v>11.5</v>
      </c>
      <c r="AN204" s="1"/>
      <c r="AO204" s="1"/>
      <c r="AP204" s="1" t="s">
        <v>79</v>
      </c>
      <c r="AQ204" s="1" t="s">
        <v>79</v>
      </c>
      <c r="AR204" s="2"/>
    </row>
    <row r="205" spans="2:44" ht="18" customHeight="1">
      <c r="B205" s="17"/>
      <c r="C205" s="1" t="s">
        <v>1</v>
      </c>
      <c r="D205" s="1" t="s">
        <v>1</v>
      </c>
      <c r="E205" s="1">
        <v>2</v>
      </c>
      <c r="F205" s="1">
        <v>2</v>
      </c>
      <c r="G205" s="1">
        <v>1</v>
      </c>
      <c r="H205" s="1">
        <v>1</v>
      </c>
      <c r="I205" s="1"/>
      <c r="J205" s="1">
        <v>1</v>
      </c>
      <c r="K205" s="8" t="str">
        <f>CustomFormatWbsIdx(B205,E205,F205,G205,H205,I205,J205)</f>
        <v>002.002.001.001.---.001</v>
      </c>
      <c r="L205" s="8">
        <v>1</v>
      </c>
      <c r="M205" s="8">
        <f>CustomFuncGetLevel(E205,F205,G205,H205,I205)</f>
        <v>4</v>
      </c>
      <c r="N205" s="8" t="b">
        <f>AND(J205&lt;&gt;"",ISNUMBER(J205))</f>
        <v>1</v>
      </c>
      <c r="O205" s="8" t="b">
        <f>NOT(OR(AB205="削除",AB205="移管済",AB205="棚上げ",AB205="却下"))</f>
        <v>1</v>
      </c>
      <c r="P205" s="8" t="b">
        <v>1</v>
      </c>
      <c r="Q205" s="8" t="b">
        <v>0</v>
      </c>
      <c r="R205" s="8" t="str">
        <f>CustomFormatWbsId(B205,E205,F205,G205,H205,I205,J205)</f>
        <v>2.2.1.1.T1</v>
      </c>
      <c r="S205" s="2"/>
      <c r="T205" s="2"/>
      <c r="U205" s="2"/>
      <c r="V205" s="2"/>
      <c r="W205" s="2"/>
      <c r="X205" s="2" t="s">
        <v>67</v>
      </c>
      <c r="Y205" s="2"/>
      <c r="Z205" s="7">
        <v>1</v>
      </c>
      <c r="AA205" s="7">
        <v>1</v>
      </c>
      <c r="AB205" s="1" t="s">
        <v>32</v>
      </c>
      <c r="AC205" s="1">
        <v>1</v>
      </c>
      <c r="AD205" s="3">
        <v>1</v>
      </c>
      <c r="AE205" s="1">
        <v>1</v>
      </c>
      <c r="AF205" s="1" t="s">
        <v>79</v>
      </c>
      <c r="AG205" s="1" t="s">
        <v>79</v>
      </c>
      <c r="AH205" s="4"/>
      <c r="AI205" s="1">
        <v>0.5</v>
      </c>
      <c r="AJ205" s="1"/>
      <c r="AK205" s="1"/>
      <c r="AL205" s="1">
        <v>0</v>
      </c>
      <c r="AM205" s="1">
        <v>0.5</v>
      </c>
      <c r="AN205" s="1"/>
      <c r="AO205" s="1"/>
      <c r="AP205" s="1" t="s">
        <v>79</v>
      </c>
      <c r="AQ205" s="1" t="s">
        <v>79</v>
      </c>
      <c r="AR205" s="2"/>
    </row>
    <row r="206" spans="2:44" ht="18" customHeight="1">
      <c r="B206" s="17"/>
      <c r="C206" s="1" t="s">
        <v>1</v>
      </c>
      <c r="D206" s="1" t="s">
        <v>1</v>
      </c>
      <c r="E206" s="1">
        <v>2</v>
      </c>
      <c r="F206" s="1">
        <v>2</v>
      </c>
      <c r="G206" s="1">
        <v>1</v>
      </c>
      <c r="H206" s="1">
        <v>1</v>
      </c>
      <c r="I206" s="1"/>
      <c r="J206" s="1">
        <v>2</v>
      </c>
      <c r="K206" s="8" t="str">
        <f>CustomFormatWbsIdx(B206,E206,F206,G206,H206,I206,J206)</f>
        <v>002.002.001.001.---.002</v>
      </c>
      <c r="L206" s="8">
        <v>1</v>
      </c>
      <c r="M206" s="8">
        <f>CustomFuncGetLevel(E206,F206,G206,H206,I206)</f>
        <v>4</v>
      </c>
      <c r="N206" s="8" t="b">
        <f>AND(J206&lt;&gt;"",ISNUMBER(J206))</f>
        <v>1</v>
      </c>
      <c r="O206" s="8" t="b">
        <f>NOT(OR(AB206="削除",AB206="移管済",AB206="棚上げ",AB206="却下"))</f>
        <v>1</v>
      </c>
      <c r="P206" s="8" t="b">
        <v>1</v>
      </c>
      <c r="Q206" s="8" t="b">
        <v>0</v>
      </c>
      <c r="R206" s="8" t="str">
        <f>CustomFormatWbsId(B206,E206,F206,G206,H206,I206,J206)</f>
        <v>2.2.1.1.T2</v>
      </c>
      <c r="S206" s="2"/>
      <c r="T206" s="2"/>
      <c r="U206" s="2"/>
      <c r="V206" s="2"/>
      <c r="W206" s="2"/>
      <c r="X206" s="2" t="s">
        <v>68</v>
      </c>
      <c r="Y206" s="2"/>
      <c r="Z206" s="7">
        <v>1</v>
      </c>
      <c r="AA206" s="7">
        <v>0</v>
      </c>
      <c r="AB206" s="1" t="s">
        <v>84</v>
      </c>
      <c r="AC206" s="1">
        <v>0.44444444444444442</v>
      </c>
      <c r="AD206" s="3">
        <v>0.80000001192092896</v>
      </c>
      <c r="AE206" s="1">
        <v>1</v>
      </c>
      <c r="AF206" s="1" t="s">
        <v>79</v>
      </c>
      <c r="AG206" s="1" t="s">
        <v>79</v>
      </c>
      <c r="AH206" s="4"/>
      <c r="AI206" s="1">
        <v>1.5</v>
      </c>
      <c r="AJ206" s="1"/>
      <c r="AK206" s="1"/>
      <c r="AL206" s="1">
        <v>2.5</v>
      </c>
      <c r="AM206" s="1">
        <v>2</v>
      </c>
      <c r="AN206" s="1"/>
      <c r="AO206" s="1"/>
      <c r="AP206" s="1" t="s">
        <v>79</v>
      </c>
      <c r="AQ206" s="1" t="s">
        <v>79</v>
      </c>
      <c r="AR206" s="2"/>
    </row>
    <row r="207" spans="2:44" ht="18" customHeight="1">
      <c r="B207" s="17"/>
      <c r="C207" s="1" t="s">
        <v>1</v>
      </c>
      <c r="D207" s="1" t="s">
        <v>1</v>
      </c>
      <c r="E207" s="1">
        <v>2</v>
      </c>
      <c r="F207" s="1">
        <v>2</v>
      </c>
      <c r="G207" s="1">
        <v>1</v>
      </c>
      <c r="H207" s="1">
        <v>1</v>
      </c>
      <c r="I207" s="1"/>
      <c r="J207" s="1">
        <v>3</v>
      </c>
      <c r="K207" s="8" t="str">
        <f>CustomFormatWbsIdx(B207,E207,F207,G207,H207,I207,J207)</f>
        <v>002.002.001.001.---.003</v>
      </c>
      <c r="L207" s="8">
        <v>1</v>
      </c>
      <c r="M207" s="8">
        <f>CustomFuncGetLevel(E207,F207,G207,H207,I207)</f>
        <v>4</v>
      </c>
      <c r="N207" s="8" t="b">
        <f>AND(J207&lt;&gt;"",ISNUMBER(J207))</f>
        <v>1</v>
      </c>
      <c r="O207" s="8" t="b">
        <f>NOT(OR(AB207="削除",AB207="移管済",AB207="棚上げ",AB207="却下"))</f>
        <v>1</v>
      </c>
      <c r="P207" s="8" t="b">
        <v>1</v>
      </c>
      <c r="Q207" s="8" t="b">
        <v>0</v>
      </c>
      <c r="R207" s="8" t="str">
        <f>CustomFormatWbsId(B207,E207,F207,G207,H207,I207,J207)</f>
        <v>2.2.1.1.T3</v>
      </c>
      <c r="S207" s="2"/>
      <c r="T207" s="2"/>
      <c r="U207" s="2"/>
      <c r="V207" s="2"/>
      <c r="W207" s="2"/>
      <c r="X207" s="2" t="s">
        <v>69</v>
      </c>
      <c r="Y207" s="2"/>
      <c r="Z207" s="7">
        <v>1</v>
      </c>
      <c r="AA207" s="7">
        <v>0</v>
      </c>
      <c r="AB207" s="1" t="s">
        <v>79</v>
      </c>
      <c r="AC207" s="1">
        <v>0.83333333333333337</v>
      </c>
      <c r="AD207" s="3">
        <v>0.60000002384185791</v>
      </c>
      <c r="AE207" s="1">
        <v>1</v>
      </c>
      <c r="AF207" s="1" t="s">
        <v>79</v>
      </c>
      <c r="AG207" s="1" t="s">
        <v>79</v>
      </c>
      <c r="AH207" s="4"/>
      <c r="AI207" s="1">
        <v>1.5</v>
      </c>
      <c r="AJ207" s="1"/>
      <c r="AK207" s="1"/>
      <c r="AL207" s="1">
        <v>0.5</v>
      </c>
      <c r="AM207" s="1">
        <v>2.5</v>
      </c>
      <c r="AN207" s="1"/>
      <c r="AO207" s="1"/>
      <c r="AP207" s="1" t="s">
        <v>79</v>
      </c>
      <c r="AQ207" s="1" t="s">
        <v>79</v>
      </c>
      <c r="AR207" s="2"/>
    </row>
    <row r="208" spans="2:44" ht="18" customHeight="1">
      <c r="B208" s="17"/>
      <c r="C208" s="1" t="s">
        <v>1</v>
      </c>
      <c r="D208" s="1" t="s">
        <v>1</v>
      </c>
      <c r="E208" s="1">
        <v>2</v>
      </c>
      <c r="F208" s="1">
        <v>2</v>
      </c>
      <c r="G208" s="1">
        <v>1</v>
      </c>
      <c r="H208" s="1">
        <v>1</v>
      </c>
      <c r="I208" s="1">
        <v>1</v>
      </c>
      <c r="J208" s="1"/>
      <c r="K208" s="8" t="str">
        <f>CustomFormatWbsIdx(B208,E208,F208,G208,H208,I208,J208)</f>
        <v>002.002.001.001.001.---</v>
      </c>
      <c r="L208" s="8">
        <v>1</v>
      </c>
      <c r="M208" s="8">
        <f>CustomFuncGetLevel(E208,F208,G208,H208,I208)</f>
        <v>5</v>
      </c>
      <c r="N208" s="8" t="b">
        <f>AND(J208&lt;&gt;"",ISNUMBER(J208))</f>
        <v>0</v>
      </c>
      <c r="O208" s="8" t="b">
        <f>NOT(OR(AB208="削除",AB208="移管済",AB208="棚上げ",AB208="却下"))</f>
        <v>1</v>
      </c>
      <c r="P208" s="8" t="b">
        <v>1</v>
      </c>
      <c r="Q208" s="8" t="b">
        <v>1</v>
      </c>
      <c r="R208" s="8" t="str">
        <f>CustomFormatWbsId(B208,E208,F208,G208,H208,I208,J208)</f>
        <v>2.2.1.1.1</v>
      </c>
      <c r="S208" s="2"/>
      <c r="T208" s="2"/>
      <c r="U208" s="2"/>
      <c r="V208" s="2"/>
      <c r="W208" s="2" t="s">
        <v>70</v>
      </c>
      <c r="X208" s="2"/>
      <c r="Y208" s="2"/>
      <c r="Z208" s="7">
        <v>3</v>
      </c>
      <c r="AA208" s="7">
        <v>0</v>
      </c>
      <c r="AB208" s="1" t="s">
        <v>79</v>
      </c>
      <c r="AC208" s="1">
        <v>0.58333333333333337</v>
      </c>
      <c r="AD208" s="3">
        <v>0.4</v>
      </c>
      <c r="AE208" s="1">
        <v>1</v>
      </c>
      <c r="AF208" s="1" t="s">
        <v>79</v>
      </c>
      <c r="AG208" s="1" t="s">
        <v>79</v>
      </c>
      <c r="AH208" s="4"/>
      <c r="AI208" s="1">
        <v>4</v>
      </c>
      <c r="AJ208" s="1"/>
      <c r="AK208" s="1"/>
      <c r="AL208" s="1">
        <v>3.5</v>
      </c>
      <c r="AM208" s="1">
        <v>4.5</v>
      </c>
      <c r="AN208" s="1"/>
      <c r="AO208" s="1"/>
      <c r="AP208" s="1" t="s">
        <v>79</v>
      </c>
      <c r="AQ208" s="1" t="s">
        <v>79</v>
      </c>
      <c r="AR208" s="2"/>
    </row>
    <row r="209" spans="1:44" ht="18" customHeight="1">
      <c r="B209" s="17"/>
      <c r="C209" s="1" t="s">
        <v>1</v>
      </c>
      <c r="D209" s="1" t="s">
        <v>1</v>
      </c>
      <c r="E209" s="1">
        <v>2</v>
      </c>
      <c r="F209" s="1">
        <v>2</v>
      </c>
      <c r="G209" s="1">
        <v>1</v>
      </c>
      <c r="H209" s="1">
        <v>1</v>
      </c>
      <c r="I209" s="1">
        <v>1</v>
      </c>
      <c r="J209" s="1">
        <v>1</v>
      </c>
      <c r="K209" s="8" t="str">
        <f>CustomFormatWbsIdx(B209,E209,F209,G209,H209,I209,J209)</f>
        <v>002.002.001.001.001.001</v>
      </c>
      <c r="L209" s="8">
        <v>1</v>
      </c>
      <c r="M209" s="8">
        <f>CustomFuncGetLevel(E209,F209,G209,H209,I209)</f>
        <v>5</v>
      </c>
      <c r="N209" s="8" t="b">
        <f>AND(J209&lt;&gt;"",ISNUMBER(J209))</f>
        <v>1</v>
      </c>
      <c r="O209" s="8" t="b">
        <f>NOT(OR(AB209="削除",AB209="移管済",AB209="棚上げ",AB209="却下"))</f>
        <v>1</v>
      </c>
      <c r="P209" s="8" t="b">
        <v>1</v>
      </c>
      <c r="Q209" s="8" t="b">
        <v>0</v>
      </c>
      <c r="R209" s="8" t="str">
        <f>CustomFormatWbsId(B209,E209,F209,G209,H209,I209,J209)</f>
        <v>2.2.1.1.1.T1</v>
      </c>
      <c r="S209" s="2"/>
      <c r="T209" s="2"/>
      <c r="U209" s="2"/>
      <c r="V209" s="2"/>
      <c r="W209" s="2"/>
      <c r="X209" s="2" t="s">
        <v>71</v>
      </c>
      <c r="Y209" s="2"/>
      <c r="Z209" s="7">
        <v>1</v>
      </c>
      <c r="AA209" s="7">
        <v>0</v>
      </c>
      <c r="AB209" s="1" t="s">
        <v>79</v>
      </c>
      <c r="AC209" s="1">
        <v>0.5</v>
      </c>
      <c r="AD209" s="3">
        <v>0.5</v>
      </c>
      <c r="AE209" s="1">
        <v>2</v>
      </c>
      <c r="AF209" s="1" t="s">
        <v>79</v>
      </c>
      <c r="AG209" s="1" t="s">
        <v>79</v>
      </c>
      <c r="AH209" s="4"/>
      <c r="AI209" s="1">
        <v>1.5</v>
      </c>
      <c r="AJ209" s="1"/>
      <c r="AK209" s="1"/>
      <c r="AL209" s="1">
        <v>2</v>
      </c>
      <c r="AM209" s="1">
        <v>2</v>
      </c>
      <c r="AN209" s="1"/>
      <c r="AO209" s="1"/>
      <c r="AP209" s="1" t="s">
        <v>79</v>
      </c>
      <c r="AQ209" s="1" t="s">
        <v>79</v>
      </c>
      <c r="AR209" s="2"/>
    </row>
    <row r="210" spans="1:44" ht="18" customHeight="1">
      <c r="B210" s="17"/>
      <c r="C210" s="1" t="s">
        <v>1</v>
      </c>
      <c r="D210" s="1" t="s">
        <v>1</v>
      </c>
      <c r="E210" s="1">
        <v>2</v>
      </c>
      <c r="F210" s="1">
        <v>2</v>
      </c>
      <c r="G210" s="1">
        <v>1</v>
      </c>
      <c r="H210" s="1">
        <v>1</v>
      </c>
      <c r="I210" s="1">
        <v>1</v>
      </c>
      <c r="J210" s="1">
        <v>2</v>
      </c>
      <c r="K210" s="8" t="str">
        <f>CustomFormatWbsIdx(B210,E210,F210,G210,H210,I210,J210)</f>
        <v>002.002.001.001.001.002</v>
      </c>
      <c r="L210" s="8">
        <v>1</v>
      </c>
      <c r="M210" s="8">
        <f>CustomFuncGetLevel(E210,F210,G210,H210,I210)</f>
        <v>5</v>
      </c>
      <c r="N210" s="8" t="b">
        <f>AND(J210&lt;&gt;"",ISNUMBER(J210))</f>
        <v>1</v>
      </c>
      <c r="O210" s="8" t="b">
        <f>NOT(OR(AB210="削除",AB210="移管済",AB210="棚上げ",AB210="却下"))</f>
        <v>1</v>
      </c>
      <c r="P210" s="8" t="b">
        <v>1</v>
      </c>
      <c r="Q210" s="8" t="b">
        <v>0</v>
      </c>
      <c r="R210" s="8" t="str">
        <f>CustomFormatWbsId(B210,E210,F210,G210,H210,I210,J210)</f>
        <v>2.2.1.1.1.T2</v>
      </c>
      <c r="S210" s="2"/>
      <c r="T210" s="2"/>
      <c r="U210" s="2"/>
      <c r="V210" s="2"/>
      <c r="W210" s="2"/>
      <c r="X210" s="2" t="s">
        <v>72</v>
      </c>
      <c r="Y210" s="2"/>
      <c r="Z210" s="7">
        <v>1</v>
      </c>
      <c r="AA210" s="7">
        <v>0</v>
      </c>
      <c r="AB210" s="1" t="s">
        <v>79</v>
      </c>
      <c r="AC210" s="1">
        <v>0.75</v>
      </c>
      <c r="AD210" s="3">
        <v>0.6</v>
      </c>
      <c r="AE210" s="1">
        <v>1</v>
      </c>
      <c r="AF210" s="1" t="s">
        <v>79</v>
      </c>
      <c r="AG210" s="1" t="s">
        <v>79</v>
      </c>
      <c r="AH210" s="4"/>
      <c r="AI210" s="1">
        <v>2</v>
      </c>
      <c r="AJ210" s="1"/>
      <c r="AK210" s="1"/>
      <c r="AL210" s="1">
        <v>0.5</v>
      </c>
      <c r="AM210" s="1">
        <v>1.5</v>
      </c>
      <c r="AN210" s="1"/>
      <c r="AO210" s="1"/>
      <c r="AP210" s="1" t="s">
        <v>79</v>
      </c>
      <c r="AQ210" s="1" t="s">
        <v>79</v>
      </c>
      <c r="AR210" s="2"/>
    </row>
    <row r="211" spans="1:44" ht="18" customHeight="1">
      <c r="B211" s="17"/>
      <c r="C211" s="1" t="s">
        <v>1</v>
      </c>
      <c r="D211" s="1" t="s">
        <v>1</v>
      </c>
      <c r="E211" s="1">
        <v>2</v>
      </c>
      <c r="F211" s="1">
        <v>2</v>
      </c>
      <c r="G211" s="1">
        <v>1</v>
      </c>
      <c r="H211" s="1">
        <v>1</v>
      </c>
      <c r="I211" s="1">
        <v>1</v>
      </c>
      <c r="J211" s="1">
        <v>3</v>
      </c>
      <c r="K211" s="8" t="str">
        <f>CustomFormatWbsIdx(B211,E211,F211,G211,H211,I211,J211)</f>
        <v>002.002.001.001.001.003</v>
      </c>
      <c r="L211" s="8">
        <v>1</v>
      </c>
      <c r="M211" s="8">
        <f>CustomFuncGetLevel(E211,F211,G211,H211,I211)</f>
        <v>5</v>
      </c>
      <c r="N211" s="8" t="b">
        <f>AND(J211&lt;&gt;"",ISNUMBER(J211))</f>
        <v>1</v>
      </c>
      <c r="O211" s="8" t="b">
        <f>NOT(OR(AB211="削除",AB211="移管済",AB211="棚上げ",AB211="却下"))</f>
        <v>1</v>
      </c>
      <c r="P211" s="8" t="b">
        <v>1</v>
      </c>
      <c r="Q211" s="8" t="b">
        <v>0</v>
      </c>
      <c r="R211" s="8" t="str">
        <f>CustomFormatWbsId(B211,E211,F211,G211,H211,I211,J211)</f>
        <v>2.2.1.1.1.T3</v>
      </c>
      <c r="S211" s="2"/>
      <c r="T211" s="2"/>
      <c r="U211" s="2"/>
      <c r="V211" s="2"/>
      <c r="W211" s="2"/>
      <c r="X211" s="2"/>
      <c r="Y211" s="2"/>
      <c r="Z211" s="7">
        <v>1</v>
      </c>
      <c r="AA211" s="7">
        <v>0</v>
      </c>
      <c r="AB211" s="1" t="s">
        <v>79</v>
      </c>
      <c r="AC211" s="1">
        <v>0.5</v>
      </c>
      <c r="AD211" s="3">
        <v>0.2</v>
      </c>
      <c r="AE211" s="1">
        <v>2</v>
      </c>
      <c r="AF211" s="1" t="s">
        <v>79</v>
      </c>
      <c r="AG211" s="1" t="s">
        <v>79</v>
      </c>
      <c r="AH211" s="4"/>
      <c r="AI211" s="1">
        <v>0.5</v>
      </c>
      <c r="AJ211" s="1"/>
      <c r="AK211" s="1"/>
      <c r="AL211" s="1">
        <v>1</v>
      </c>
      <c r="AM211" s="1">
        <v>1</v>
      </c>
      <c r="AN211" s="1"/>
      <c r="AO211" s="1"/>
      <c r="AP211" s="1" t="s">
        <v>79</v>
      </c>
      <c r="AQ211" s="1" t="s">
        <v>79</v>
      </c>
      <c r="AR211" s="2"/>
    </row>
    <row r="212" spans="1:44" ht="18" customHeight="1">
      <c r="B212" s="17"/>
      <c r="C212" s="1" t="s">
        <v>1</v>
      </c>
      <c r="D212" s="1" t="s">
        <v>1</v>
      </c>
      <c r="E212" s="1">
        <v>2</v>
      </c>
      <c r="F212" s="1">
        <v>2</v>
      </c>
      <c r="G212" s="1">
        <v>1</v>
      </c>
      <c r="H212" s="1">
        <v>1</v>
      </c>
      <c r="I212" s="1">
        <v>2</v>
      </c>
      <c r="J212" s="1"/>
      <c r="K212" s="8" t="str">
        <f>CustomFormatWbsIdx(B212,E212,F212,G212,H212,I212,J212)</f>
        <v>002.002.001.001.002.---</v>
      </c>
      <c r="L212" s="8">
        <v>1</v>
      </c>
      <c r="M212" s="8">
        <f>CustomFuncGetLevel(E212,F212,G212,H212,I212)</f>
        <v>5</v>
      </c>
      <c r="N212" s="8" t="b">
        <f>AND(J212&lt;&gt;"",ISNUMBER(J212))</f>
        <v>0</v>
      </c>
      <c r="O212" s="8" t="b">
        <f>NOT(OR(AB212="削除",AB212="移管済",AB212="棚上げ",AB212="却下"))</f>
        <v>1</v>
      </c>
      <c r="P212" s="8" t="b">
        <v>1</v>
      </c>
      <c r="Q212" s="8" t="b">
        <v>1</v>
      </c>
      <c r="R212" s="8" t="str">
        <f>CustomFormatWbsId(B212,E212,F212,G212,H212,I212,J212)</f>
        <v>2.2.1.1.2</v>
      </c>
      <c r="S212" s="2"/>
      <c r="T212" s="2"/>
      <c r="U212" s="2"/>
      <c r="V212" s="2"/>
      <c r="W212" s="2"/>
      <c r="X212" s="2"/>
      <c r="Y212" s="2"/>
      <c r="Z212" s="7">
        <v>3</v>
      </c>
      <c r="AA212" s="7">
        <v>0</v>
      </c>
      <c r="AB212" s="1" t="s">
        <v>79</v>
      </c>
      <c r="AC212" s="1">
        <v>0.22222222222222221</v>
      </c>
      <c r="AD212" s="3">
        <v>0.67999999999999994</v>
      </c>
      <c r="AE212" s="1">
        <v>1</v>
      </c>
      <c r="AF212" s="1" t="s">
        <v>79</v>
      </c>
      <c r="AG212" s="1" t="s">
        <v>79</v>
      </c>
      <c r="AH212" s="4"/>
      <c r="AI212" s="1">
        <v>1.5</v>
      </c>
      <c r="AJ212" s="1"/>
      <c r="AK212" s="1"/>
      <c r="AL212" s="1">
        <v>3.5</v>
      </c>
      <c r="AM212" s="1">
        <v>2</v>
      </c>
      <c r="AN212" s="1"/>
      <c r="AO212" s="1"/>
      <c r="AP212" s="1" t="s">
        <v>79</v>
      </c>
      <c r="AQ212" s="1" t="s">
        <v>79</v>
      </c>
      <c r="AR212" s="2"/>
    </row>
    <row r="213" spans="1:44" ht="18" customHeight="1">
      <c r="B213" s="17"/>
      <c r="C213" s="1" t="s">
        <v>1</v>
      </c>
      <c r="D213" s="1" t="s">
        <v>1</v>
      </c>
      <c r="E213" s="1">
        <v>2</v>
      </c>
      <c r="F213" s="1">
        <v>2</v>
      </c>
      <c r="G213" s="1">
        <v>1</v>
      </c>
      <c r="H213" s="1">
        <v>1</v>
      </c>
      <c r="I213" s="1">
        <v>2</v>
      </c>
      <c r="J213" s="1">
        <v>1</v>
      </c>
      <c r="K213" s="8" t="str">
        <f>CustomFormatWbsIdx(B213,E213,F213,G213,H213,I213,J213)</f>
        <v>002.002.001.001.002.001</v>
      </c>
      <c r="L213" s="8">
        <v>1</v>
      </c>
      <c r="M213" s="8">
        <f>CustomFuncGetLevel(E213,F213,G213,H213,I213)</f>
        <v>5</v>
      </c>
      <c r="N213" s="8" t="b">
        <f>AND(J213&lt;&gt;"",ISNUMBER(J213))</f>
        <v>1</v>
      </c>
      <c r="O213" s="8" t="b">
        <f>NOT(OR(AB213="削除",AB213="移管済",AB213="棚上げ",AB213="却下"))</f>
        <v>1</v>
      </c>
      <c r="P213" s="8" t="b">
        <v>1</v>
      </c>
      <c r="Q213" s="8" t="b">
        <v>0</v>
      </c>
      <c r="R213" s="8" t="str">
        <f>CustomFormatWbsId(B213,E213,F213,G213,H213,I213,J213)</f>
        <v>2.2.1.1.2.T1</v>
      </c>
      <c r="S213" s="2"/>
      <c r="T213" s="2"/>
      <c r="U213" s="2"/>
      <c r="V213" s="2"/>
      <c r="W213" s="2"/>
      <c r="X213" s="2" t="s">
        <v>71</v>
      </c>
      <c r="Y213" s="2"/>
      <c r="Z213" s="7">
        <v>1</v>
      </c>
      <c r="AA213" s="7">
        <v>0</v>
      </c>
      <c r="AB213" s="1" t="s">
        <v>79</v>
      </c>
      <c r="AC213" s="1">
        <v>0</v>
      </c>
      <c r="AD213" s="3">
        <v>1</v>
      </c>
      <c r="AE213" s="1">
        <v>2</v>
      </c>
      <c r="AF213" s="1" t="s">
        <v>79</v>
      </c>
      <c r="AG213" s="1" t="s">
        <v>79</v>
      </c>
      <c r="AH213" s="4"/>
      <c r="AI213" s="1">
        <v>1.5</v>
      </c>
      <c r="AJ213" s="1"/>
      <c r="AK213" s="1"/>
      <c r="AL213" s="1">
        <v>1</v>
      </c>
      <c r="AM213" s="1">
        <v>0</v>
      </c>
      <c r="AN213" s="1"/>
      <c r="AO213" s="1"/>
      <c r="AP213" s="1" t="s">
        <v>79</v>
      </c>
      <c r="AQ213" s="1" t="s">
        <v>79</v>
      </c>
      <c r="AR213" s="2"/>
    </row>
    <row r="214" spans="1:44" ht="18" customHeight="1">
      <c r="B214" s="17"/>
      <c r="C214" s="1" t="s">
        <v>1</v>
      </c>
      <c r="D214" s="1" t="s">
        <v>1</v>
      </c>
      <c r="E214" s="1">
        <v>2</v>
      </c>
      <c r="F214" s="1">
        <v>2</v>
      </c>
      <c r="G214" s="1">
        <v>1</v>
      </c>
      <c r="H214" s="1">
        <v>1</v>
      </c>
      <c r="I214" s="1">
        <v>2</v>
      </c>
      <c r="J214" s="1">
        <v>2</v>
      </c>
      <c r="K214" s="8" t="str">
        <f>CustomFormatWbsIdx(B214,E214,F214,G214,H214,I214,J214)</f>
        <v>002.002.001.001.002.002</v>
      </c>
      <c r="L214" s="8">
        <v>1</v>
      </c>
      <c r="M214" s="8">
        <f>CustomFuncGetLevel(E214,F214,G214,H214,I214)</f>
        <v>5</v>
      </c>
      <c r="N214" s="8" t="b">
        <f>AND(J214&lt;&gt;"",ISNUMBER(J214))</f>
        <v>1</v>
      </c>
      <c r="O214" s="8" t="b">
        <f>NOT(OR(AB214="削除",AB214="移管済",AB214="棚上げ",AB214="却下"))</f>
        <v>1</v>
      </c>
      <c r="P214" s="8" t="b">
        <v>1</v>
      </c>
      <c r="Q214" s="8" t="b">
        <v>0</v>
      </c>
      <c r="R214" s="8" t="str">
        <f>CustomFormatWbsId(B214,E214,F214,G214,H214,I214,J214)</f>
        <v>2.2.1.1.2.T2</v>
      </c>
      <c r="S214" s="2"/>
      <c r="T214" s="2"/>
      <c r="U214" s="2"/>
      <c r="V214" s="2"/>
      <c r="W214" s="2"/>
      <c r="X214" s="2" t="s">
        <v>72</v>
      </c>
      <c r="Y214" s="2"/>
      <c r="Z214" s="7">
        <v>1</v>
      </c>
      <c r="AA214" s="7">
        <v>0</v>
      </c>
      <c r="AB214" s="1" t="s">
        <v>79</v>
      </c>
      <c r="AC214" s="1">
        <v>0</v>
      </c>
      <c r="AD214" s="3">
        <v>0.4</v>
      </c>
      <c r="AE214" s="1">
        <v>1</v>
      </c>
      <c r="AF214" s="1" t="s">
        <v>79</v>
      </c>
      <c r="AG214" s="1" t="s">
        <v>79</v>
      </c>
      <c r="AH214" s="4"/>
      <c r="AI214" s="1">
        <v>0</v>
      </c>
      <c r="AJ214" s="1"/>
      <c r="AK214" s="1"/>
      <c r="AL214" s="1">
        <v>1.5</v>
      </c>
      <c r="AM214" s="1">
        <v>0</v>
      </c>
      <c r="AN214" s="1"/>
      <c r="AO214" s="1"/>
      <c r="AP214" s="1" t="s">
        <v>79</v>
      </c>
      <c r="AQ214" s="1" t="s">
        <v>79</v>
      </c>
      <c r="AR214" s="2"/>
    </row>
    <row r="215" spans="1:44" ht="18" customHeight="1">
      <c r="B215" s="17"/>
      <c r="C215" s="1" t="s">
        <v>1</v>
      </c>
      <c r="D215" s="1" t="s">
        <v>1</v>
      </c>
      <c r="E215" s="1">
        <v>2</v>
      </c>
      <c r="F215" s="1">
        <v>2</v>
      </c>
      <c r="G215" s="1">
        <v>1</v>
      </c>
      <c r="H215" s="1">
        <v>1</v>
      </c>
      <c r="I215" s="1">
        <v>2</v>
      </c>
      <c r="J215" s="1">
        <v>3</v>
      </c>
      <c r="K215" s="8" t="str">
        <f>CustomFormatWbsIdx(B215,E215,F215,G215,H215,I215,J215)</f>
        <v>002.002.001.001.002.003</v>
      </c>
      <c r="L215" s="8">
        <v>1</v>
      </c>
      <c r="M215" s="8">
        <f>CustomFuncGetLevel(E215,F215,G215,H215,I215)</f>
        <v>5</v>
      </c>
      <c r="N215" s="8" t="b">
        <f>AND(J215&lt;&gt;"",ISNUMBER(J215))</f>
        <v>1</v>
      </c>
      <c r="O215" s="8" t="b">
        <f>NOT(OR(AB215="削除",AB215="移管済",AB215="棚上げ",AB215="却下"))</f>
        <v>1</v>
      </c>
      <c r="P215" s="8" t="b">
        <v>1</v>
      </c>
      <c r="Q215" s="8" t="b">
        <v>0</v>
      </c>
      <c r="R215" s="8" t="str">
        <f>CustomFormatWbsId(B215,E215,F215,G215,H215,I215,J215)</f>
        <v>2.2.1.1.2.T3</v>
      </c>
      <c r="S215" s="2"/>
      <c r="T215" s="2"/>
      <c r="U215" s="2"/>
      <c r="V215" s="2"/>
      <c r="W215" s="2"/>
      <c r="X215" s="2"/>
      <c r="Y215" s="2"/>
      <c r="Z215" s="7">
        <v>1</v>
      </c>
      <c r="AA215" s="7">
        <v>0</v>
      </c>
      <c r="AB215" s="1" t="s">
        <v>79</v>
      </c>
      <c r="AC215" s="1">
        <v>0.66666666666666663</v>
      </c>
      <c r="AD215" s="3">
        <v>0.5</v>
      </c>
      <c r="AE215" s="1">
        <v>2</v>
      </c>
      <c r="AF215" s="1" t="s">
        <v>79</v>
      </c>
      <c r="AG215" s="1" t="s">
        <v>79</v>
      </c>
      <c r="AH215" s="4"/>
      <c r="AI215" s="1">
        <v>0</v>
      </c>
      <c r="AJ215" s="1"/>
      <c r="AK215" s="1"/>
      <c r="AL215" s="1">
        <v>1</v>
      </c>
      <c r="AM215" s="1">
        <v>2</v>
      </c>
      <c r="AN215" s="1"/>
      <c r="AO215" s="1"/>
      <c r="AP215" s="1" t="s">
        <v>79</v>
      </c>
      <c r="AQ215" s="1" t="s">
        <v>79</v>
      </c>
      <c r="AR215" s="2"/>
    </row>
    <row r="216" spans="1:44" ht="18" customHeight="1">
      <c r="B216" s="17"/>
      <c r="C216" s="1" t="s">
        <v>1</v>
      </c>
      <c r="D216" s="1" t="s">
        <v>1</v>
      </c>
      <c r="E216" s="1">
        <v>2</v>
      </c>
      <c r="F216" s="1">
        <v>2</v>
      </c>
      <c r="G216" s="1">
        <v>1</v>
      </c>
      <c r="H216" s="1">
        <v>2</v>
      </c>
      <c r="I216" s="1"/>
      <c r="J216" s="1"/>
      <c r="K216" s="8" t="str">
        <f>CustomFormatWbsIdx(B216,E216,F216,G216,H216,I216,J216)</f>
        <v>002.002.001.002.---.---</v>
      </c>
      <c r="L216" s="8">
        <v>1</v>
      </c>
      <c r="M216" s="8">
        <f>CustomFuncGetLevel(E216,F216,G216,H216,I216)</f>
        <v>4</v>
      </c>
      <c r="N216" s="8" t="b">
        <f>AND(J216&lt;&gt;"",ISNUMBER(J216))</f>
        <v>0</v>
      </c>
      <c r="O216" s="8" t="b">
        <f>NOT(OR(AB216="削除",AB216="移管済",AB216="棚上げ",AB216="却下"))</f>
        <v>1</v>
      </c>
      <c r="P216" s="8" t="b">
        <v>1</v>
      </c>
      <c r="Q216" s="8" t="b">
        <v>1</v>
      </c>
      <c r="R216" s="8" t="str">
        <f>CustomFormatWbsId(B216,E216,F216,G216,H216,I216,J216)</f>
        <v>2.2.1.2</v>
      </c>
      <c r="S216" s="2"/>
      <c r="T216" s="2"/>
      <c r="U216" s="2"/>
      <c r="V216" s="2"/>
      <c r="W216" s="2"/>
      <c r="X216" s="2"/>
      <c r="Y216" s="2"/>
      <c r="Z216" s="7">
        <v>1</v>
      </c>
      <c r="AA216" s="7">
        <v>1</v>
      </c>
      <c r="AB216" s="1" t="s">
        <v>79</v>
      </c>
      <c r="AC216" s="1">
        <v>1</v>
      </c>
      <c r="AD216" s="3">
        <v>1</v>
      </c>
      <c r="AE216" s="1">
        <v>1</v>
      </c>
      <c r="AF216" s="1" t="s">
        <v>79</v>
      </c>
      <c r="AG216" s="1" t="s">
        <v>79</v>
      </c>
      <c r="AH216" s="4"/>
      <c r="AI216" s="1">
        <v>1</v>
      </c>
      <c r="AJ216" s="1"/>
      <c r="AK216" s="1"/>
      <c r="AL216" s="1">
        <v>0</v>
      </c>
      <c r="AM216" s="1">
        <v>2</v>
      </c>
      <c r="AN216" s="1"/>
      <c r="AO216" s="1"/>
      <c r="AP216" s="1" t="s">
        <v>79</v>
      </c>
      <c r="AQ216" s="1" t="s">
        <v>79</v>
      </c>
      <c r="AR216" s="2"/>
    </row>
    <row r="217" spans="1:44" ht="18" customHeight="1">
      <c r="B217" s="17"/>
      <c r="C217" s="1" t="s">
        <v>1</v>
      </c>
      <c r="D217" s="1" t="s">
        <v>1</v>
      </c>
      <c r="E217" s="1">
        <v>2</v>
      </c>
      <c r="F217" s="1">
        <v>2</v>
      </c>
      <c r="G217" s="1">
        <v>1</v>
      </c>
      <c r="H217" s="1">
        <v>2</v>
      </c>
      <c r="I217" s="1"/>
      <c r="J217" s="1">
        <v>1</v>
      </c>
      <c r="K217" s="8" t="str">
        <f>CustomFormatWbsIdx(B217,E217,F217,G217,H217,I217,J217)</f>
        <v>002.002.001.002.---.001</v>
      </c>
      <c r="L217" s="8">
        <v>1</v>
      </c>
      <c r="M217" s="8">
        <f>CustomFuncGetLevel(E217,F217,G217,H217,I217)</f>
        <v>4</v>
      </c>
      <c r="N217" s="8" t="b">
        <f>AND(J217&lt;&gt;"",ISNUMBER(J217))</f>
        <v>1</v>
      </c>
      <c r="O217" s="8" t="b">
        <f>NOT(OR(AB217="削除",AB217="移管済",AB217="棚上げ",AB217="却下"))</f>
        <v>1</v>
      </c>
      <c r="P217" s="8" t="b">
        <v>1</v>
      </c>
      <c r="Q217" s="8" t="b">
        <v>0</v>
      </c>
      <c r="R217" s="8" t="str">
        <f>CustomFormatWbsId(B217,E217,F217,G217,H217,I217,J217)</f>
        <v>2.2.1.2.T1</v>
      </c>
      <c r="S217" s="2"/>
      <c r="T217" s="2"/>
      <c r="U217" s="2"/>
      <c r="V217" s="2"/>
      <c r="W217" s="2"/>
      <c r="X217" s="2" t="s">
        <v>67</v>
      </c>
      <c r="Y217" s="2"/>
      <c r="Z217" s="7">
        <v>1</v>
      </c>
      <c r="AA217" s="7">
        <v>1</v>
      </c>
      <c r="AB217" s="1" t="s">
        <v>32</v>
      </c>
      <c r="AC217" s="1">
        <v>1</v>
      </c>
      <c r="AD217" s="3">
        <v>1</v>
      </c>
      <c r="AE217" s="1">
        <v>1</v>
      </c>
      <c r="AF217" s="1" t="s">
        <v>79</v>
      </c>
      <c r="AG217" s="1" t="s">
        <v>79</v>
      </c>
      <c r="AH217" s="4"/>
      <c r="AI217" s="1">
        <v>1</v>
      </c>
      <c r="AJ217" s="1"/>
      <c r="AK217" s="1"/>
      <c r="AL217" s="1">
        <v>0</v>
      </c>
      <c r="AM217" s="1">
        <v>2</v>
      </c>
      <c r="AN217" s="1"/>
      <c r="AO217" s="1"/>
      <c r="AP217" s="1" t="s">
        <v>79</v>
      </c>
      <c r="AQ217" s="1" t="s">
        <v>79</v>
      </c>
      <c r="AR217" s="2"/>
    </row>
    <row r="218" spans="1:44" ht="18" customHeight="1">
      <c r="B218" s="17"/>
      <c r="C218" s="1" t="s">
        <v>1</v>
      </c>
      <c r="D218" s="1" t="s">
        <v>1</v>
      </c>
      <c r="E218" s="1"/>
      <c r="F218" s="1"/>
      <c r="G218" s="1"/>
      <c r="H218" s="1"/>
      <c r="I218" s="1"/>
      <c r="J218" s="1"/>
      <c r="K218" s="8" t="str">
        <f>CustomFormatWbsIdx(B218,E218,F218,G218,H218,I218,J218)</f>
        <v>XXX.XXX.XXX.XXX.XXX.XXX</v>
      </c>
      <c r="L218" s="8">
        <v>1</v>
      </c>
      <c r="M218" s="8">
        <f>CustomFuncGetLevel(E218,F218,G218,H218,I218)</f>
        <v>0</v>
      </c>
      <c r="N218" s="8" t="b">
        <f>AND(J218&lt;&gt;"",ISNUMBER(J218))</f>
        <v>0</v>
      </c>
      <c r="O218" s="8" t="b">
        <f>NOT(OR(AB218="削除",AB218="移管済",AB218="棚上げ",AB218="却下"))</f>
        <v>1</v>
      </c>
      <c r="P218" s="8" t="b">
        <v>0</v>
      </c>
      <c r="Q218" s="8" t="b">
        <v>0</v>
      </c>
      <c r="R218" s="8" t="str">
        <f>CustomFormatWbsId(B218,E218,F218,G218,H218,I218,J218)</f>
        <v/>
      </c>
      <c r="S218" s="2"/>
      <c r="T218" s="2"/>
      <c r="U218" s="2"/>
      <c r="V218" s="2"/>
      <c r="W218" s="2"/>
      <c r="X218" s="2"/>
      <c r="Y218" s="2"/>
      <c r="Z218" s="7"/>
      <c r="AA218" s="7"/>
      <c r="AB218" s="1" t="s">
        <v>79</v>
      </c>
      <c r="AC218" s="1"/>
      <c r="AD218" s="3"/>
      <c r="AE218" s="1">
        <v>1</v>
      </c>
      <c r="AF218" s="1" t="s">
        <v>79</v>
      </c>
      <c r="AG218" s="1" t="s">
        <v>79</v>
      </c>
      <c r="AH218" s="4"/>
      <c r="AI218" s="1"/>
      <c r="AJ218" s="1"/>
      <c r="AK218" s="1"/>
      <c r="AL218" s="1"/>
      <c r="AM218" s="1"/>
      <c r="AN218" s="1"/>
      <c r="AO218" s="1"/>
      <c r="AP218" s="1" t="s">
        <v>79</v>
      </c>
      <c r="AQ218" s="1" t="s">
        <v>79</v>
      </c>
      <c r="AR218" s="2"/>
    </row>
    <row r="219" spans="1:44" ht="18" customHeight="1">
      <c r="A219" s="9" t="s">
        <v>49</v>
      </c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 t="s">
        <v>31</v>
      </c>
      <c r="AA219" s="18" t="s">
        <v>31</v>
      </c>
      <c r="AB219" s="18"/>
      <c r="AC219" s="18" t="s">
        <v>50</v>
      </c>
      <c r="AD219" s="18" t="s">
        <v>50</v>
      </c>
      <c r="AE219" s="18"/>
      <c r="AF219" s="18"/>
      <c r="AG219" s="18"/>
      <c r="AH219" s="18"/>
      <c r="AI219" s="18" t="s">
        <v>51</v>
      </c>
      <c r="AJ219" s="18"/>
      <c r="AK219" s="18"/>
      <c r="AL219" s="18" t="s">
        <v>51</v>
      </c>
      <c r="AM219" s="18" t="s">
        <v>51</v>
      </c>
      <c r="AN219" s="18"/>
      <c r="AO219" s="18"/>
      <c r="AP219" s="18"/>
      <c r="AQ219" s="18"/>
      <c r="AR219" s="18"/>
    </row>
    <row r="220" spans="1:44" ht="18" customHeight="1"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>
        <v>142</v>
      </c>
      <c r="AA220" s="17">
        <v>14</v>
      </c>
      <c r="AB220" s="17"/>
      <c r="AC220" s="17">
        <v>0.41811700837742505</v>
      </c>
      <c r="AD220" s="17">
        <v>0.3467555231901322</v>
      </c>
      <c r="AE220" s="17"/>
      <c r="AF220" s="17"/>
      <c r="AG220" s="17"/>
      <c r="AH220" s="17"/>
      <c r="AI220" s="17">
        <v>170</v>
      </c>
      <c r="AJ220" s="17"/>
      <c r="AK220" s="17"/>
      <c r="AL220" s="17">
        <v>156.5</v>
      </c>
      <c r="AM220" s="17">
        <v>171.5</v>
      </c>
      <c r="AN220" s="17"/>
      <c r="AO220" s="17"/>
      <c r="AP220" s="17"/>
      <c r="AQ220" s="17"/>
      <c r="AR220" s="17"/>
    </row>
  </sheetData>
  <sheetProtection algorithmName="SHA-512" hashValue="Kiwvg+BNTV547ExmF+8xbZTaiBKc1Zt5CUKBnQMuE9SJoaPilzJueQGNds/pn5kv9+mOtBMFh21kJfjQ5xrXVg==" saltValue="ZC77+BpqHYwarsIFkZ5rkA==" spinCount="100000" sheet="1" objects="1" scenarios="1" autoFilter="0"/>
  <autoFilter ref="E7:AQ218" xr:uid="{B1135BCF-56DA-428A-8AA0-4FD9B2FF02CF}"/>
  <phoneticPr fontId="1"/>
  <conditionalFormatting sqref="C7:AR7">
    <cfRule type="expression" dxfId="67" priority="1">
      <formula>TRUE</formula>
    </cfRule>
  </conditionalFormatting>
  <conditionalFormatting sqref="C219:AR219">
    <cfRule type="expression" dxfId="66" priority="2">
      <formula>TRUE</formula>
    </cfRule>
  </conditionalFormatting>
  <conditionalFormatting sqref="C5:AR5">
    <cfRule type="expression" dxfId="65" priority="3">
      <formula>TRUE</formula>
    </cfRule>
  </conditionalFormatting>
  <conditionalFormatting sqref="C5:AR6">
    <cfRule type="expression" dxfId="64" priority="4">
      <formula>TRUE</formula>
    </cfRule>
  </conditionalFormatting>
  <conditionalFormatting sqref="C3:AR3">
    <cfRule type="expression" dxfId="63" priority="5">
      <formula>TRUE</formula>
    </cfRule>
  </conditionalFormatting>
  <conditionalFormatting sqref="C4:AR4">
    <cfRule type="expression" dxfId="62" priority="6">
      <formula>TRUE</formula>
    </cfRule>
  </conditionalFormatting>
  <conditionalFormatting sqref="C5:C6">
    <cfRule type="expression" dxfId="61" priority="7">
      <formula>TRUE</formula>
    </cfRule>
  </conditionalFormatting>
  <conditionalFormatting sqref="E5:E6">
    <cfRule type="expression" dxfId="60" priority="8">
      <formula>TRUE</formula>
    </cfRule>
  </conditionalFormatting>
  <conditionalFormatting sqref="J5:J6">
    <cfRule type="expression" dxfId="59" priority="9">
      <formula>TRUE</formula>
    </cfRule>
  </conditionalFormatting>
  <conditionalFormatting sqref="AB5:AC6">
    <cfRule type="expression" dxfId="58" priority="10">
      <formula>TRUE</formula>
    </cfRule>
  </conditionalFormatting>
  <conditionalFormatting sqref="AF5:AH6">
    <cfRule type="expression" dxfId="57" priority="11">
      <formula>TRUE</formula>
    </cfRule>
  </conditionalFormatting>
  <conditionalFormatting sqref="AL5:AL6">
    <cfRule type="expression" dxfId="56" priority="12">
      <formula>TRUE</formula>
    </cfRule>
  </conditionalFormatting>
  <conditionalFormatting sqref="AP5:AR6">
    <cfRule type="expression" dxfId="55" priority="13">
      <formula>TRUE</formula>
    </cfRule>
  </conditionalFormatting>
  <conditionalFormatting sqref="AC6:AE6">
    <cfRule type="expression" dxfId="54" priority="14">
      <formula>TRUE</formula>
    </cfRule>
  </conditionalFormatting>
  <conditionalFormatting sqref="AI6:AO6">
    <cfRule type="expression" dxfId="53" priority="15">
      <formula>TRUE</formula>
    </cfRule>
  </conditionalFormatting>
  <conditionalFormatting sqref="AC8:AC218">
    <cfRule type="dataBar" priority="16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{2333B531-55AB-4F1C-8BAE-1EE43DF3365B}</x14:id>
        </ext>
      </extLst>
    </cfRule>
    <cfRule type="expression" dxfId="52" priority="18">
      <formula>$AC8=0</formula>
    </cfRule>
  </conditionalFormatting>
  <conditionalFormatting sqref="AD8:AD218">
    <cfRule type="dataBar" priority="17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{1A89015E-0CF2-4C26-A0A7-08C75D2B362F}</x14:id>
        </ext>
      </extLst>
    </cfRule>
    <cfRule type="expression" dxfId="51" priority="19">
      <formula>$AD8=0</formula>
    </cfRule>
  </conditionalFormatting>
  <conditionalFormatting sqref="AI8:AI218">
    <cfRule type="expression" dxfId="50" priority="20">
      <formula>$AI8=0</formula>
    </cfRule>
  </conditionalFormatting>
  <conditionalFormatting sqref="AL8:AL218">
    <cfRule type="expression" dxfId="49" priority="21">
      <formula>$AL8=0</formula>
    </cfRule>
  </conditionalFormatting>
  <conditionalFormatting sqref="AM8:AM218">
    <cfRule type="expression" dxfId="48" priority="22">
      <formula>$AM8=0</formula>
    </cfRule>
  </conditionalFormatting>
  <conditionalFormatting sqref="AC220:AD220">
    <cfRule type="expression" dxfId="47" priority="23">
      <formula>TRUE</formula>
    </cfRule>
  </conditionalFormatting>
  <conditionalFormatting sqref="AI220">
    <cfRule type="expression" dxfId="46" priority="24">
      <formula>TRUE</formula>
    </cfRule>
  </conditionalFormatting>
  <conditionalFormatting sqref="AL220:AM220">
    <cfRule type="expression" dxfId="45" priority="25">
      <formula>TRUE</formula>
    </cfRule>
  </conditionalFormatting>
  <conditionalFormatting sqref="AJ8:AK218">
    <cfRule type="expression" dxfId="44" priority="26">
      <formula>TRUE</formula>
    </cfRule>
  </conditionalFormatting>
  <conditionalFormatting sqref="AN8:AO218">
    <cfRule type="expression" dxfId="43" priority="27">
      <formula>TRUE</formula>
    </cfRule>
  </conditionalFormatting>
  <conditionalFormatting sqref="AC8:AC218">
    <cfRule type="expression" dxfId="42" priority="28">
      <formula>TRUE</formula>
    </cfRule>
  </conditionalFormatting>
  <conditionalFormatting sqref="AD8:AD218">
    <cfRule type="expression" dxfId="41" priority="29">
      <formula>$N8=TRUE</formula>
    </cfRule>
  </conditionalFormatting>
  <conditionalFormatting sqref="AD8:AD218">
    <cfRule type="expression" dxfId="40" priority="30">
      <formula>$N8=FALSE</formula>
    </cfRule>
  </conditionalFormatting>
  <conditionalFormatting sqref="AI8:AI218">
    <cfRule type="expression" dxfId="39" priority="31">
      <formula>$N8=TRUE</formula>
    </cfRule>
  </conditionalFormatting>
  <conditionalFormatting sqref="AI8:AI218">
    <cfRule type="expression" dxfId="38" priority="32">
      <formula>$N8=FALSE</formula>
    </cfRule>
  </conditionalFormatting>
  <conditionalFormatting sqref="AL8:AM218">
    <cfRule type="expression" dxfId="37" priority="33">
      <formula>$N8=TRUE</formula>
    </cfRule>
  </conditionalFormatting>
  <conditionalFormatting sqref="AL8:AM218">
    <cfRule type="expression" dxfId="36" priority="34">
      <formula>$N8=FALSE</formula>
    </cfRule>
  </conditionalFormatting>
  <conditionalFormatting sqref="B8:B218">
    <cfRule type="expression" dxfId="35" priority="35">
      <formula>$B8="E"</formula>
    </cfRule>
  </conditionalFormatting>
  <conditionalFormatting sqref="X8:X218">
    <cfRule type="expression" dxfId="34" priority="36">
      <formula>AND($X8="",$N8=TRUE)</formula>
    </cfRule>
  </conditionalFormatting>
  <conditionalFormatting sqref="S8:S218">
    <cfRule type="expression" dxfId="33" priority="37">
      <formula>AND($M8=1,$S8="",$N8=FALSE)</formula>
    </cfRule>
  </conditionalFormatting>
  <conditionalFormatting sqref="T8:T218">
    <cfRule type="expression" dxfId="32" priority="38">
      <formula>AND($M8=2,$T8="",$N8=FALSE)</formula>
    </cfRule>
  </conditionalFormatting>
  <conditionalFormatting sqref="U8:U218">
    <cfRule type="expression" dxfId="31" priority="39">
      <formula>AND($M8=3,$U8="",$N8=FALSE)</formula>
    </cfRule>
  </conditionalFormatting>
  <conditionalFormatting sqref="V8:V218">
    <cfRule type="expression" dxfId="30" priority="40">
      <formula>AND($M8=4,$V8="",$N8=FALSE)</formula>
    </cfRule>
  </conditionalFormatting>
  <conditionalFormatting sqref="W8:W218">
    <cfRule type="expression" dxfId="29" priority="41">
      <formula>AND($M8=5,$W8="",$N8=FALSE)</formula>
    </cfRule>
  </conditionalFormatting>
  <conditionalFormatting sqref="AD8:AD218">
    <cfRule type="expression" dxfId="28" priority="42">
      <formula>AND($AD8="",$O8=TRUE,$N8=TRUE)</formula>
    </cfRule>
  </conditionalFormatting>
  <conditionalFormatting sqref="R8:AA218">
    <cfRule type="expression" dxfId="27" priority="43">
      <formula>$O8=FALSE</formula>
    </cfRule>
  </conditionalFormatting>
  <conditionalFormatting sqref="AC8:AR218">
    <cfRule type="expression" dxfId="26" priority="44">
      <formula>$O8=FALSE</formula>
    </cfRule>
  </conditionalFormatting>
  <conditionalFormatting sqref="X8:AR218">
    <cfRule type="expression" dxfId="25" priority="45">
      <formula>AND($N8=TRUE,$AB8="却下")</formula>
    </cfRule>
  </conditionalFormatting>
  <conditionalFormatting sqref="X8:AR218">
    <cfRule type="expression" dxfId="24" priority="46">
      <formula>AND($N8=TRUE,$AB8="棚上げ")</formula>
    </cfRule>
  </conditionalFormatting>
  <conditionalFormatting sqref="X8:AR218">
    <cfRule type="expression" dxfId="23" priority="47">
      <formula>AND($N8=TRUE,$AB8="移管済")</formula>
    </cfRule>
  </conditionalFormatting>
  <conditionalFormatting sqref="X8:AR218">
    <cfRule type="expression" dxfId="22" priority="48">
      <formula>AND($N8=TRUE,$AB8="削除")</formula>
    </cfRule>
  </conditionalFormatting>
  <conditionalFormatting sqref="X8:AR218">
    <cfRule type="expression" dxfId="21" priority="49">
      <formula>AND($N8=TRUE,$AB8="完了")</formula>
    </cfRule>
  </conditionalFormatting>
  <conditionalFormatting sqref="X8:AR218">
    <cfRule type="expression" dxfId="20" priority="50">
      <formula>AND($N8=TRUE,$AB8="保留")</formula>
    </cfRule>
  </conditionalFormatting>
  <conditionalFormatting sqref="X8:AR218">
    <cfRule type="expression" dxfId="19" priority="51">
      <formula>AND($N8=TRUE,$AB8="着手中")</formula>
    </cfRule>
  </conditionalFormatting>
  <conditionalFormatting sqref="X8:AR218">
    <cfRule type="expression" dxfId="18" priority="52">
      <formula>AND($N8=TRUE,$AB8="未着手")</formula>
    </cfRule>
  </conditionalFormatting>
  <conditionalFormatting sqref="Z8:AA218">
    <cfRule type="expression" dxfId="17" priority="53">
      <formula>TRUE</formula>
    </cfRule>
  </conditionalFormatting>
  <conditionalFormatting sqref="E8:E218">
    <cfRule type="expression" dxfId="16" priority="54">
      <formula>$M8&gt;=1</formula>
    </cfRule>
  </conditionalFormatting>
  <conditionalFormatting sqref="F8:F218">
    <cfRule type="expression" dxfId="15" priority="55">
      <formula>$M8&gt;=2</formula>
    </cfRule>
  </conditionalFormatting>
  <conditionalFormatting sqref="G8:G218">
    <cfRule type="expression" dxfId="14" priority="56">
      <formula>$M8&gt;=3</formula>
    </cfRule>
  </conditionalFormatting>
  <conditionalFormatting sqref="H8:H218">
    <cfRule type="expression" dxfId="13" priority="57">
      <formula>$M8&gt;=4</formula>
    </cfRule>
  </conditionalFormatting>
  <conditionalFormatting sqref="I8:I218">
    <cfRule type="expression" dxfId="12" priority="58">
      <formula>$M8&gt;=5</formula>
    </cfRule>
  </conditionalFormatting>
  <conditionalFormatting sqref="C8:AR218">
    <cfRule type="expression" dxfId="11" priority="59">
      <formula>$N8=FALSE</formula>
    </cfRule>
  </conditionalFormatting>
  <conditionalFormatting sqref="C8:AR218">
    <cfRule type="expression" dxfId="10" priority="60">
      <formula>$N8=TRUE</formula>
    </cfRule>
  </conditionalFormatting>
  <conditionalFormatting sqref="C8:AR218">
    <cfRule type="expression" dxfId="9" priority="61">
      <formula>AND($M8=1,$N8=FALSE)</formula>
    </cfRule>
  </conditionalFormatting>
  <conditionalFormatting sqref="C8:AR218">
    <cfRule type="expression" dxfId="8" priority="62">
      <formula>AND($M8=2,$N8=FALSE)</formula>
    </cfRule>
  </conditionalFormatting>
  <conditionalFormatting sqref="C8:AR218">
    <cfRule type="expression" dxfId="7" priority="63">
      <formula>AND($M8=3,$N8=FALSE)</formula>
    </cfRule>
  </conditionalFormatting>
  <conditionalFormatting sqref="C8:AR218">
    <cfRule type="expression" dxfId="6" priority="64">
      <formula>AND($M8=4,$N8=FALSE)</formula>
    </cfRule>
  </conditionalFormatting>
  <conditionalFormatting sqref="C8:AR218">
    <cfRule type="expression" dxfId="5" priority="65">
      <formula>AND($M8=5,$N8=FALSE)</formula>
    </cfRule>
  </conditionalFormatting>
  <conditionalFormatting sqref="C8:E218">
    <cfRule type="expression" dxfId="4" priority="66">
      <formula>TRUE</formula>
    </cfRule>
  </conditionalFormatting>
  <conditionalFormatting sqref="F8:I218">
    <cfRule type="expression" dxfId="3" priority="67">
      <formula>TRUE</formula>
    </cfRule>
  </conditionalFormatting>
  <conditionalFormatting sqref="J8:J218">
    <cfRule type="expression" dxfId="2" priority="68">
      <formula>TRUE</formula>
    </cfRule>
  </conditionalFormatting>
  <conditionalFormatting sqref="K8:AA218">
    <cfRule type="expression" dxfId="1" priority="69">
      <formula>TRUE</formula>
    </cfRule>
  </conditionalFormatting>
  <conditionalFormatting sqref="AB8:AR218">
    <cfRule type="expression" dxfId="0" priority="70">
      <formula>TRUE</formula>
    </cfRule>
  </conditionalFormatting>
  <dataValidations count="16">
    <dataValidation type="list" allowBlank="1" showInputMessage="1" showErrorMessage="1" sqref="AB8:AB218" xr:uid="{F8523129-F256-4149-86B6-FE69A0A518B4}">
      <formula1>"-,未着手,着手中,保留,移管済,棚上げ,却下,完了,削除"</formula1>
    </dataValidation>
    <dataValidation type="list" allowBlank="1" showInputMessage="1" showErrorMessage="1" sqref="AF8:AF218" xr:uid="{2424BC09-4C25-416C-A991-3613A1A28312}">
      <formula1>"-,A社,B社,C社"</formula1>
    </dataValidation>
    <dataValidation type="list" allowBlank="1" showInputMessage="1" showErrorMessage="1" sqref="AG8:AG218" xr:uid="{15490B5B-FEBD-4742-B930-E49C0E7D957D}">
      <formula1>"-,佐藤一郎,鈴木二郎,高橋三郎"</formula1>
    </dataValidation>
    <dataValidation type="list" allowBlank="1" showInputMessage="1" showErrorMessage="1" sqref="AP8:AP218" xr:uid="{B60EF68A-8B70-4947-BEE5-A4F4CAA42A47}">
      <formula1>"-,A,B,C"</formula1>
    </dataValidation>
    <dataValidation type="list" allowBlank="1" showInputMessage="1" showErrorMessage="1" sqref="AQ8:AQ218" xr:uid="{A038F91A-B3BC-47B5-9848-74A79A57AD88}">
      <formula1>"-,D,E,F"</formula1>
    </dataValidation>
    <dataValidation type="whole" allowBlank="1" showInputMessage="1" showErrorMessage="1" errorTitle="入力エラー" error="1～999 の整数のみ入力可能です。" promptTitle="1～999 の整数" prompt="1～999 の整数を入力してください（空白も可）" sqref="E8:J218" xr:uid="{0256CE74-4697-41A8-ACD0-BEA123518900}">
      <formula1>1</formula1>
      <formula2>999</formula2>
    </dataValidation>
    <dataValidation type="whole" allowBlank="1" showErrorMessage="1" errorTitle="入力エラー" error="0～5 の整数のみ入力可能です。" sqref="M8:M218" xr:uid="{6DBC0C9C-02CE-40BE-95FC-490E6BB81ED3}">
      <formula1>0</formula1>
      <formula2>5</formula2>
    </dataValidation>
    <dataValidation type="custom" allowBlank="1" showDropDown="1" showErrorMessage="1" errorTitle="入力エラー" error="TRUE または FALSE のみ入力可能です。" sqref="N8:Q218" xr:uid="{FD342059-F7B6-42E4-8802-2B964DB1FACA}">
      <formula1>OR(ISBLANK(N8),N8=TRUE,N8=FALSE)</formula1>
    </dataValidation>
    <dataValidation type="custom" allowBlank="1" showDropDown="1" showErrorMessage="1" errorTitle="入力エラー" error="0以上の整数のみ入力可能です。" sqref="Z8:Z218" xr:uid="{59B97507-3641-4831-AE6E-6B811C8B6F56}">
      <formula1>OR(ISBLANK(Z8),AND(ISNUMBER(Z8),Z8&gt;=0,INT(Z8)=Z8))</formula1>
    </dataValidation>
    <dataValidation type="custom" allowBlank="1" showDropDown="1" showErrorMessage="1" errorTitle="入力エラー" error="0以上の整数のみ入力可能です。" sqref="AA8:AA218" xr:uid="{235A1E4E-291F-4C34-A6C7-3EA18B7B9477}">
      <formula1>OR(ISBLANK(AA8),AND(ISNUMBER(AA8),AA8&gt;=0,INT(AA8)=AA8))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C8:AC218" xr:uid="{944D4EFB-7849-45E0-9B9B-83E019BD440A}">
      <formula1>OR(ISBLANK(AC8),AND(ISNUMBER(AC8),AC8&gt;=0,AC8&lt;=1))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D8:AD218" xr:uid="{58953038-8376-4BC3-AE40-EF95A7DEA538}">
      <formula1>OR(ISBLANK(AD8),AND(ISNUMBER(AD8),AD8&gt;=0,AD8&lt;=1))</formula1>
    </dataValidation>
    <dataValidation type="custom" allowBlank="1" showDropDown="1" showInputMessage="1" showErrorMessage="1" errorTitle="入力エラー" error="1以上の整数のみ入力可能です。" promptTitle="1以上の整数のみ" prompt="1以上の整数を入力してください（空白可）" sqref="AE8:AE218" xr:uid="{42CCB091-B250-4EC7-BC6E-BF93781FBF01}">
      <formula1>OR(ISBLANK(AE8),AND(ISNUMBER(AE8),AE8&gt;=1,INT(AE8)=AE8))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I8:AI218" xr:uid="{0DFBA9FD-2FEA-4FEB-8BB8-3C9F93D4B988}">
      <formula1>OR(ISBLANK(AI8),AND(ISNUMBER(AI8),AI8&gt;=0))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L8:AL218" xr:uid="{BBC7A5AA-3AB2-4CCE-AD46-E7F0715AD4F5}">
      <formula1>OR(ISBLANK(AL8),AND(ISNUMBER(AL8),AL8&gt;=0))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M8:AM218" xr:uid="{954D8590-A831-434F-A14C-00D8932CED08}">
      <formula1>OR(ISBLANK(AM8),AND(ISNUMBER(AM8),AM8&gt;=0))</formula1>
    </dataValidation>
  </dataValidations>
  <hyperlinks>
    <hyperlink ref="AR2" r:id="rId1" xr:uid="{C2333073-78E7-44AD-82DB-685F386D11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62" r:id="rId4" name="Execute1ComboBox">
              <controlPr defaultSize="0" autoFill="0" autoPict="0">
                <anchor mov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24</xdr:col>
                    <xdr:colOff>295275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3" r:id="rId5" name="Execute1Button">
              <controlPr defaultSize="0" print="0" autoFill="0" autoPict="0" macro="[0]!wbsui.Exe1ButtonClick">
                <anchor moveWithCells="1" sizeWithCells="1">
                  <from>
                    <xdr:col>24</xdr:col>
                    <xdr:colOff>295275</xdr:colOff>
                    <xdr:row>2</xdr:row>
                    <xdr:rowOff>0</xdr:rowOff>
                  </from>
                  <to>
                    <xdr:col>24</xdr:col>
                    <xdr:colOff>809625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4" r:id="rId6" name="Reset1Button">
              <controlPr defaultSize="0" print="0" autoFill="0" autoPict="0" macro="[0]!wbsui.Reset1ButtonClick">
                <anchor moveWithCells="1" sizeWithCells="1">
                  <from>
                    <xdr:col>24</xdr:col>
                    <xdr:colOff>809625</xdr:colOff>
                    <xdr:row>2</xdr:row>
                    <xdr:rowOff>0</xdr:rowOff>
                  </from>
                  <to>
                    <xdr:col>24</xdr:col>
                    <xdr:colOff>1504950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5" r:id="rId7" name="Execute2ComboBox">
              <controlPr defaultSize="0" autoFill="0" autoPict="0">
                <anchor mov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24</xdr:col>
                    <xdr:colOff>2200275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6" r:id="rId8" name="Execute2Button">
              <controlPr defaultSize="0" print="0" autoFill="0" autoPict="0" macro="[0]!wbsui.Exe2ButtonClick">
                <anchor moveWithCells="1" sizeWithCells="1">
                  <from>
                    <xdr:col>24</xdr:col>
                    <xdr:colOff>2200275</xdr:colOff>
                    <xdr:row>3</xdr:row>
                    <xdr:rowOff>0</xdr:rowOff>
                  </from>
                  <to>
                    <xdr:col>24</xdr:col>
                    <xdr:colOff>2714625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7" r:id="rId9" name="Reset2Button">
              <controlPr defaultSize="0" print="0" autoFill="0" autoPict="0" macro="[0]!wbsui.Reset2ButtonClick">
                <anchor moveWithCells="1" sizeWithCells="1">
                  <from>
                    <xdr:col>24</xdr:col>
                    <xdr:colOff>2714625</xdr:colOff>
                    <xdr:row>3</xdr:row>
                    <xdr:rowOff>0</xdr:rowOff>
                  </from>
                  <to>
                    <xdr:col>24</xdr:col>
                    <xdr:colOff>3409950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33B531-55AB-4F1C-8BAE-1EE43DF3365B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AC8:AC218</xm:sqref>
        </x14:conditionalFormatting>
        <x14:conditionalFormatting xmlns:xm="http://schemas.microsoft.com/office/excel/2006/main">
          <x14:cfRule type="dataBar" id="{1A89015E-0CF2-4C26-A0A7-08C75D2B362F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AD8:AD218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cp:lastPrinted>2025-04-13T17:38:32Z</cp:lastPrinted>
  <dcterms:created xsi:type="dcterms:W3CDTF">2015-06-05T18:19:34Z</dcterms:created>
  <dcterms:modified xsi:type="dcterms:W3CDTF">2025-04-28T18:19:33Z</dcterms:modified>
</cp:coreProperties>
</file>